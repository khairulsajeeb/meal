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80" windowHeight="62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<sst xmlns="http://schemas.openxmlformats.org/spreadsheetml/2006/main" count="219" uniqueCount="85">
  <si>
    <t>SL</t>
  </si>
  <si>
    <t>Name</t>
  </si>
  <si>
    <t>Meal rate</t>
  </si>
  <si>
    <t>Meal count</t>
  </si>
  <si>
    <t>Regular</t>
  </si>
  <si>
    <t>Special</t>
  </si>
  <si>
    <t>Due</t>
  </si>
  <si>
    <t>Net payable</t>
  </si>
  <si>
    <t>Meal Rate</t>
  </si>
  <si>
    <t>Meal Count</t>
  </si>
  <si>
    <t>past payble</t>
  </si>
  <si>
    <t>paid</t>
  </si>
  <si>
    <t xml:space="preserve">Meal cost </t>
  </si>
  <si>
    <t>Net  payable</t>
  </si>
  <si>
    <t>Past payble</t>
  </si>
  <si>
    <t>Paid</t>
  </si>
  <si>
    <t>Meal cost</t>
  </si>
  <si>
    <t>Net Payable</t>
  </si>
  <si>
    <t>Md. Jobayer Mia (Asst. Hall Provost)</t>
  </si>
  <si>
    <t>Mrinmoy Deb Nath</t>
  </si>
  <si>
    <t>Kamrul Hasan Tauhid</t>
  </si>
  <si>
    <t>Arif Mehedi</t>
  </si>
  <si>
    <t>Tasnim Hasnat</t>
  </si>
  <si>
    <t>Fahim Sahariar Razin</t>
  </si>
  <si>
    <t>S Fardin Tahmid</t>
  </si>
  <si>
    <t>Md. Atikul Alom</t>
  </si>
  <si>
    <t>Dibbo Joti Ray</t>
  </si>
  <si>
    <t>Md. Sahedin Islam</t>
  </si>
  <si>
    <t>Ahmed Muktafi</t>
  </si>
  <si>
    <t>Sanjim Sajid Jim</t>
  </si>
  <si>
    <t>Rayhan Uddin</t>
  </si>
  <si>
    <t>Sirat Al Morsalin</t>
  </si>
  <si>
    <t>Ahammed Mortuza</t>
  </si>
  <si>
    <t>Md Sabbir Hossain</t>
  </si>
  <si>
    <t>Joyanti Sarker</t>
  </si>
  <si>
    <t>Al Bashar Md Bidhan</t>
  </si>
  <si>
    <t>Md. Tahsin Kabir</t>
  </si>
  <si>
    <t>Mamun Hossen</t>
  </si>
  <si>
    <t>Ashraful Islam Arif</t>
  </si>
  <si>
    <t>Minhazul Abedin</t>
  </si>
  <si>
    <t>Md. Alif Hasan</t>
  </si>
  <si>
    <t>Farhan Mahtab</t>
  </si>
  <si>
    <t>Arman Mia</t>
  </si>
  <si>
    <t>Rafiullah Bhuiyan</t>
  </si>
  <si>
    <t>Md. Ridfaul Islam</t>
  </si>
  <si>
    <t>Golam Mustafa</t>
  </si>
  <si>
    <t>Asif Shikder</t>
  </si>
  <si>
    <t>SM Mubtasim Sakif</t>
  </si>
  <si>
    <t>Zawad Sadik Shafin</t>
  </si>
  <si>
    <t>Mohammad Jarif</t>
  </si>
  <si>
    <t>Shadman Sakib Shaumik</t>
  </si>
  <si>
    <t>Farhan Rahman</t>
  </si>
  <si>
    <t>Md. Zawaduzzaman</t>
  </si>
  <si>
    <t>Khairul Islam</t>
  </si>
  <si>
    <t>S. M. Sami-Ul-Alam</t>
  </si>
  <si>
    <t>Md. Isteak Ahmed</t>
  </si>
  <si>
    <t>Syed Borhan Uddin</t>
  </si>
  <si>
    <t>Md. Roman Sarker</t>
  </si>
  <si>
    <t>Md. Maksudul Hasan Rafid</t>
  </si>
  <si>
    <t>Saiful Sharif</t>
  </si>
  <si>
    <t>Md. Mostakim Mahmud</t>
  </si>
  <si>
    <t>Chad Mojumder</t>
  </si>
  <si>
    <t>Md. Ali Hasan</t>
  </si>
  <si>
    <t>Md. Imtiaz Shahin</t>
  </si>
  <si>
    <t>Badhan Das</t>
  </si>
  <si>
    <t>Mohammed Tamim Kibria</t>
  </si>
  <si>
    <t>Md. Mahin Siat Ul Shohan</t>
  </si>
  <si>
    <t>Gouroo Roy Antor</t>
  </si>
  <si>
    <t>Tanvir Ahmed Sami</t>
  </si>
  <si>
    <t>Abid Shahin</t>
  </si>
  <si>
    <t>Abdullah Reza</t>
  </si>
  <si>
    <t>Robayet Hossain</t>
  </si>
  <si>
    <t>Robiul</t>
  </si>
  <si>
    <t>Kousik</t>
  </si>
  <si>
    <t>Nahian</t>
  </si>
  <si>
    <t>Nahian ali</t>
  </si>
  <si>
    <t>Araf</t>
  </si>
  <si>
    <t>Arya</t>
  </si>
  <si>
    <t xml:space="preserve">  </t>
  </si>
  <si>
    <t>Sharif Abrar</t>
  </si>
  <si>
    <t>Talha Habib</t>
  </si>
  <si>
    <t>Tirtho</t>
  </si>
  <si>
    <t>Mamunur Rashid</t>
  </si>
  <si>
    <t>Rakibul Hassan</t>
  </si>
  <si>
    <t>billal vai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</si>
</sst>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2" fillId="2" borderId="0" xfId="0" applyFont="1" applyFill="1">
      <alignment vertical="center"/>
    </xf>
    <xf numFmtId="0" fontId="1" fillId="0" borderId="0" xfId="0" applyFont="1" applyFill="1" applyAlignment="1"/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596900</xdr:colOff>
      <xdr:row>101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740900" cy="18675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7"/>
  <sheetViews>
    <sheetView tabSelected="1" zoomScale="55" zoomScaleNormal="55" topLeftCell="T48" workbookViewId="0">
      <selection activeCell="AH63" sqref="AH63"/>
    </sheetView>
  </sheetViews>
  <sheetFormatPr defaultColWidth="8.72727272727273" defaultRowHeight="14.5"/>
  <cols>
    <col min="5" max="5" width="14.0909090909091" customWidth="1"/>
    <col min="6" max="6" width="16.2727272727273" customWidth="1"/>
    <col min="7" max="7" width="11.2727272727273" customWidth="1"/>
    <col min="8" max="8" width="10.4545454545455" customWidth="1"/>
    <col min="9" max="9" width="7.54545454545455" customWidth="1"/>
    <col min="10" max="10" width="17.2727272727273" customWidth="1"/>
    <col min="11" max="11" width="8.72727272727273" style="1"/>
    <col min="13" max="13" width="34.2727272727273" style="2" customWidth="1"/>
    <col min="14" max="14" width="13.2" style="2" customWidth="1"/>
    <col min="15" max="15" width="14.2909090909091" style="2" customWidth="1"/>
    <col min="16" max="16" width="15.4545454545455" style="2" customWidth="1"/>
    <col min="17" max="17" width="17.2727272727273" style="2" customWidth="1"/>
    <col min="18" max="18" width="8.72727272727273" style="2"/>
    <col min="19" max="19" width="17.1090909090909" customWidth="1"/>
    <col min="20" max="20" width="17.4272727272727" style="2" customWidth="1"/>
    <col min="22" max="22" width="8.72727272727273" style="1"/>
    <col min="23" max="23" width="34.2727272727273" style="2" customWidth="1"/>
    <col min="24" max="24" width="14.3272727272727" customWidth="1"/>
    <col min="25" max="25" width="10.9" customWidth="1"/>
    <col min="26" max="26" width="13.0363636363636" customWidth="1"/>
    <col min="27" max="27" width="11.7545454545455" customWidth="1"/>
    <col min="28" max="28" width="13.0363636363636" customWidth="1"/>
    <col min="29" max="29" width="10.5818181818182" customWidth="1"/>
    <col min="30" max="30" width="14" customWidth="1"/>
  </cols>
  <sheetData>
    <row r="1" ht="21" spans="1:30">
      <c r="A1" s="3" t="s">
        <v>0</v>
      </c>
      <c r="B1" s="4" t="s">
        <v>1</v>
      </c>
      <c r="C1" s="4"/>
      <c r="D1" s="4"/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/>
      <c r="L1" s="3" t="s">
        <v>0</v>
      </c>
      <c r="M1" s="4" t="s">
        <v>1</v>
      </c>
      <c r="N1" s="4" t="s">
        <v>8</v>
      </c>
      <c r="O1" s="4" t="s">
        <v>9</v>
      </c>
      <c r="P1" s="2" t="s">
        <v>10</v>
      </c>
      <c r="Q1" s="4" t="s">
        <v>11</v>
      </c>
      <c r="R1" s="7" t="s">
        <v>6</v>
      </c>
      <c r="S1" s="8" t="s">
        <v>12</v>
      </c>
      <c r="T1" s="8" t="s">
        <v>13</v>
      </c>
      <c r="W1" s="4" t="s">
        <v>1</v>
      </c>
      <c r="X1" s="2" t="s">
        <v>14</v>
      </c>
      <c r="Y1" s="2" t="s">
        <v>15</v>
      </c>
      <c r="Z1" s="2" t="s">
        <v>6</v>
      </c>
      <c r="AA1" s="2" t="s">
        <v>9</v>
      </c>
      <c r="AB1" s="2" t="s">
        <v>8</v>
      </c>
      <c r="AC1" s="2" t="s">
        <v>16</v>
      </c>
      <c r="AD1" s="2" t="s">
        <v>17</v>
      </c>
    </row>
    <row r="2" ht="21" spans="1:30">
      <c r="A2" s="3">
        <v>1</v>
      </c>
      <c r="B2" s="3" t="s">
        <v>18</v>
      </c>
      <c r="C2" s="3"/>
      <c r="D2" s="3"/>
      <c r="E2" s="3">
        <v>56.5</v>
      </c>
      <c r="F2" s="3">
        <v>27</v>
      </c>
      <c r="G2" s="3">
        <f t="shared" ref="G2:G58" si="0">E2*F2</f>
        <v>1525.5</v>
      </c>
      <c r="H2" s="3">
        <v>200</v>
      </c>
      <c r="I2" s="3">
        <v>32</v>
      </c>
      <c r="J2" s="3">
        <f t="shared" ref="J2:J64" si="1">SUM(G2:I2)</f>
        <v>1757.5</v>
      </c>
      <c r="L2" s="3">
        <v>1</v>
      </c>
      <c r="M2" s="6" t="s">
        <v>18</v>
      </c>
      <c r="N2" s="6">
        <v>66.9</v>
      </c>
      <c r="O2" s="6">
        <v>35</v>
      </c>
      <c r="P2" s="2">
        <f>J2</f>
        <v>1757.5</v>
      </c>
      <c r="Q2" s="4">
        <v>1770</v>
      </c>
      <c r="R2" s="2">
        <f>P2-Q2</f>
        <v>-12.5</v>
      </c>
      <c r="S2" s="8">
        <f>N2*O2</f>
        <v>2341.5</v>
      </c>
      <c r="T2" s="2">
        <f>R2+S2</f>
        <v>2329</v>
      </c>
      <c r="W2" s="6" t="s">
        <v>18</v>
      </c>
      <c r="X2">
        <v>947.45</v>
      </c>
      <c r="Y2">
        <v>980</v>
      </c>
      <c r="Z2" s="2">
        <f>X2-Y2</f>
        <v>-32.55</v>
      </c>
      <c r="AA2">
        <v>16</v>
      </c>
      <c r="AB2">
        <v>53.3</v>
      </c>
      <c r="AC2">
        <f>AA2*AB2</f>
        <v>852.8</v>
      </c>
      <c r="AD2">
        <f>AC2+Z2</f>
        <v>820.25</v>
      </c>
    </row>
    <row r="3" ht="21" spans="1:30">
      <c r="A3" s="3">
        <v>2</v>
      </c>
      <c r="B3" s="3" t="s">
        <v>19</v>
      </c>
      <c r="C3" s="3"/>
      <c r="D3" s="3"/>
      <c r="E3" s="3">
        <v>56.5</v>
      </c>
      <c r="F3" s="3">
        <v>31</v>
      </c>
      <c r="G3" s="3">
        <f t="shared" si="0"/>
        <v>1751.5</v>
      </c>
      <c r="H3" s="3">
        <v>100</v>
      </c>
      <c r="I3" s="3">
        <v>976</v>
      </c>
      <c r="J3" s="3">
        <f t="shared" si="1"/>
        <v>2827.5</v>
      </c>
      <c r="L3" s="3">
        <v>2</v>
      </c>
      <c r="M3" s="6" t="s">
        <v>19</v>
      </c>
      <c r="N3" s="6">
        <v>66.9</v>
      </c>
      <c r="O3" s="6">
        <v>35</v>
      </c>
      <c r="P3" s="2">
        <f t="shared" ref="P3:P34" si="2">J3</f>
        <v>2827.5</v>
      </c>
      <c r="Q3" s="4">
        <v>2300</v>
      </c>
      <c r="R3" s="2">
        <f t="shared" ref="R3:R34" si="3">P3-Q3</f>
        <v>527.5</v>
      </c>
      <c r="S3" s="8">
        <f t="shared" ref="S3:S34" si="4">N3*O3</f>
        <v>2341.5</v>
      </c>
      <c r="T3" s="2">
        <f t="shared" ref="T3:T34" si="5">R3+S3</f>
        <v>2869</v>
      </c>
      <c r="W3" s="6" t="s">
        <v>19</v>
      </c>
      <c r="X3">
        <v>2283.95</v>
      </c>
      <c r="Y3">
        <v>2000</v>
      </c>
      <c r="Z3" s="2">
        <f t="shared" ref="Z3:Z34" si="6">X3-Y3</f>
        <v>283.95</v>
      </c>
      <c r="AA3">
        <v>47</v>
      </c>
      <c r="AB3">
        <v>53.3</v>
      </c>
      <c r="AC3">
        <f t="shared" ref="AC3:AC34" si="7">AA3*AB3</f>
        <v>2505.1</v>
      </c>
      <c r="AD3">
        <f t="shared" ref="AD3:AD34" si="8">AC3+Z3</f>
        <v>2789.05</v>
      </c>
    </row>
    <row r="4" ht="21" spans="1:30">
      <c r="A4" s="3">
        <v>3</v>
      </c>
      <c r="B4" s="3" t="s">
        <v>20</v>
      </c>
      <c r="C4" s="3"/>
      <c r="D4" s="3"/>
      <c r="E4" s="3">
        <v>56.5</v>
      </c>
      <c r="F4" s="3">
        <v>44</v>
      </c>
      <c r="G4" s="3">
        <f t="shared" si="0"/>
        <v>2486</v>
      </c>
      <c r="H4" s="3">
        <v>100</v>
      </c>
      <c r="I4" s="3">
        <v>1119</v>
      </c>
      <c r="J4" s="3">
        <f t="shared" si="1"/>
        <v>3705</v>
      </c>
      <c r="L4" s="3">
        <v>3</v>
      </c>
      <c r="M4" s="6" t="s">
        <v>20</v>
      </c>
      <c r="N4" s="6">
        <v>66.9</v>
      </c>
      <c r="O4" s="6">
        <v>31</v>
      </c>
      <c r="P4" s="2">
        <f t="shared" si="2"/>
        <v>3705</v>
      </c>
      <c r="Q4" s="4">
        <v>3500</v>
      </c>
      <c r="R4" s="2">
        <f t="shared" si="3"/>
        <v>205</v>
      </c>
      <c r="S4" s="8">
        <f t="shared" si="4"/>
        <v>2073.9</v>
      </c>
      <c r="T4" s="2">
        <f t="shared" si="5"/>
        <v>2278.9</v>
      </c>
      <c r="W4" s="6" t="s">
        <v>20</v>
      </c>
      <c r="X4">
        <v>3139.65</v>
      </c>
      <c r="Y4">
        <v>3500</v>
      </c>
      <c r="Z4" s="2">
        <f t="shared" si="6"/>
        <v>-360.35</v>
      </c>
      <c r="AA4">
        <v>35</v>
      </c>
      <c r="AB4">
        <v>53.3</v>
      </c>
      <c r="AC4">
        <f t="shared" si="7"/>
        <v>1865.5</v>
      </c>
      <c r="AD4">
        <f t="shared" si="8"/>
        <v>1505.15</v>
      </c>
    </row>
    <row r="5" ht="21" spans="1:30">
      <c r="A5" s="3">
        <v>4</v>
      </c>
      <c r="B5" s="3" t="s">
        <v>21</v>
      </c>
      <c r="C5" s="3"/>
      <c r="D5" s="3"/>
      <c r="E5" s="3">
        <v>56.5</v>
      </c>
      <c r="F5" s="3">
        <v>36</v>
      </c>
      <c r="G5" s="3">
        <f t="shared" si="0"/>
        <v>2034</v>
      </c>
      <c r="H5" s="3">
        <v>100</v>
      </c>
      <c r="I5" s="3">
        <v>-150</v>
      </c>
      <c r="J5" s="3">
        <f t="shared" si="1"/>
        <v>1984</v>
      </c>
      <c r="L5" s="3">
        <v>4</v>
      </c>
      <c r="M5" s="6" t="s">
        <v>21</v>
      </c>
      <c r="N5" s="6">
        <v>66.9</v>
      </c>
      <c r="O5" s="6">
        <v>20</v>
      </c>
      <c r="P5" s="2">
        <f t="shared" si="2"/>
        <v>1984</v>
      </c>
      <c r="Q5" s="4">
        <v>1500</v>
      </c>
      <c r="R5" s="2">
        <f t="shared" si="3"/>
        <v>484</v>
      </c>
      <c r="S5" s="8">
        <f t="shared" si="4"/>
        <v>1338</v>
      </c>
      <c r="T5" s="2">
        <f t="shared" si="5"/>
        <v>1822</v>
      </c>
      <c r="W5" s="6" t="s">
        <v>21</v>
      </c>
      <c r="X5">
        <v>2336.8</v>
      </c>
      <c r="Y5">
        <v>2000</v>
      </c>
      <c r="Z5" s="2">
        <f t="shared" si="6"/>
        <v>336.8</v>
      </c>
      <c r="AA5">
        <v>35</v>
      </c>
      <c r="AB5">
        <v>53.3</v>
      </c>
      <c r="AC5">
        <f t="shared" si="7"/>
        <v>1865.5</v>
      </c>
      <c r="AD5">
        <f t="shared" si="8"/>
        <v>2202.3</v>
      </c>
    </row>
    <row r="6" ht="21" spans="1:30">
      <c r="A6" s="3">
        <v>5</v>
      </c>
      <c r="B6" s="3" t="s">
        <v>22</v>
      </c>
      <c r="C6" s="3"/>
      <c r="D6" s="3"/>
      <c r="E6" s="3">
        <v>56.5</v>
      </c>
      <c r="F6" s="3">
        <v>40</v>
      </c>
      <c r="G6" s="3">
        <f t="shared" si="0"/>
        <v>2260</v>
      </c>
      <c r="H6" s="3">
        <v>100</v>
      </c>
      <c r="I6" s="3">
        <v>636.5</v>
      </c>
      <c r="J6" s="3">
        <f t="shared" si="1"/>
        <v>2996.5</v>
      </c>
      <c r="L6" s="3">
        <v>5</v>
      </c>
      <c r="M6" s="6" t="s">
        <v>22</v>
      </c>
      <c r="N6" s="6">
        <v>66.9</v>
      </c>
      <c r="O6" s="6">
        <v>19</v>
      </c>
      <c r="P6" s="2">
        <f t="shared" si="2"/>
        <v>2996.5</v>
      </c>
      <c r="Q6" s="4">
        <v>0</v>
      </c>
      <c r="R6" s="2">
        <f t="shared" si="3"/>
        <v>2996.5</v>
      </c>
      <c r="S6" s="8">
        <f t="shared" si="4"/>
        <v>1271.1</v>
      </c>
      <c r="T6" s="2">
        <f t="shared" si="5"/>
        <v>4267.6</v>
      </c>
      <c r="W6" s="6" t="s">
        <v>22</v>
      </c>
      <c r="X6">
        <v>4921.05</v>
      </c>
      <c r="Y6">
        <v>3500</v>
      </c>
      <c r="Z6" s="2">
        <f t="shared" si="6"/>
        <v>1421.05</v>
      </c>
      <c r="AA6">
        <v>23</v>
      </c>
      <c r="AB6">
        <v>53.3</v>
      </c>
      <c r="AC6">
        <f t="shared" si="7"/>
        <v>1225.9</v>
      </c>
      <c r="AD6">
        <f t="shared" si="8"/>
        <v>2646.95</v>
      </c>
    </row>
    <row r="7" ht="21" spans="1:30">
      <c r="A7" s="3">
        <v>6</v>
      </c>
      <c r="B7" s="3" t="s">
        <v>23</v>
      </c>
      <c r="C7" s="3"/>
      <c r="D7" s="3"/>
      <c r="E7" s="3">
        <v>56.5</v>
      </c>
      <c r="F7" s="3">
        <v>17</v>
      </c>
      <c r="G7" s="3">
        <f t="shared" si="0"/>
        <v>960.5</v>
      </c>
      <c r="H7" s="3">
        <v>100</v>
      </c>
      <c r="I7" s="3">
        <v>991</v>
      </c>
      <c r="J7" s="3">
        <f t="shared" si="1"/>
        <v>2051.5</v>
      </c>
      <c r="L7" s="3">
        <v>6</v>
      </c>
      <c r="M7" s="6" t="s">
        <v>23</v>
      </c>
      <c r="N7" s="6">
        <v>66.9</v>
      </c>
      <c r="O7" s="6">
        <v>4</v>
      </c>
      <c r="P7" s="2">
        <f t="shared" si="2"/>
        <v>2051.5</v>
      </c>
      <c r="Q7" s="4">
        <v>1300</v>
      </c>
      <c r="R7" s="2">
        <f t="shared" si="3"/>
        <v>751.5</v>
      </c>
      <c r="S7" s="8">
        <f t="shared" si="4"/>
        <v>267.6</v>
      </c>
      <c r="T7" s="2">
        <f t="shared" si="5"/>
        <v>1019.1</v>
      </c>
      <c r="W7" s="6" t="s">
        <v>23</v>
      </c>
      <c r="X7">
        <v>1811.75</v>
      </c>
      <c r="Y7">
        <v>1500</v>
      </c>
      <c r="Z7" s="2">
        <f t="shared" si="6"/>
        <v>311.75</v>
      </c>
      <c r="AA7">
        <v>34</v>
      </c>
      <c r="AB7">
        <v>53.3</v>
      </c>
      <c r="AC7">
        <f t="shared" si="7"/>
        <v>1812.2</v>
      </c>
      <c r="AD7">
        <f t="shared" si="8"/>
        <v>2123.95</v>
      </c>
    </row>
    <row r="8" ht="21" spans="1:30">
      <c r="A8" s="3">
        <v>7</v>
      </c>
      <c r="B8" s="3" t="s">
        <v>24</v>
      </c>
      <c r="C8" s="3"/>
      <c r="D8" s="3"/>
      <c r="E8" s="3">
        <v>56.5</v>
      </c>
      <c r="F8" s="3">
        <v>37</v>
      </c>
      <c r="G8" s="3">
        <f t="shared" si="0"/>
        <v>2090.5</v>
      </c>
      <c r="H8" s="3">
        <v>350</v>
      </c>
      <c r="I8" s="3">
        <v>2558.5</v>
      </c>
      <c r="J8" s="3">
        <f t="shared" si="1"/>
        <v>4999</v>
      </c>
      <c r="L8" s="3">
        <v>7</v>
      </c>
      <c r="M8" s="6" t="s">
        <v>24</v>
      </c>
      <c r="N8" s="6">
        <v>66.9</v>
      </c>
      <c r="O8" s="6">
        <v>37</v>
      </c>
      <c r="P8" s="2">
        <f t="shared" si="2"/>
        <v>4999</v>
      </c>
      <c r="Q8" s="4">
        <v>4000</v>
      </c>
      <c r="R8" s="2">
        <f t="shared" si="3"/>
        <v>999</v>
      </c>
      <c r="S8" s="8">
        <f t="shared" si="4"/>
        <v>2475.3</v>
      </c>
      <c r="T8" s="2">
        <f t="shared" si="5"/>
        <v>3474.3</v>
      </c>
      <c r="W8" s="6" t="s">
        <v>24</v>
      </c>
      <c r="X8">
        <v>4334.75</v>
      </c>
      <c r="Y8">
        <v>3200</v>
      </c>
      <c r="Z8" s="2">
        <f t="shared" si="6"/>
        <v>1134.75</v>
      </c>
      <c r="AA8">
        <v>20</v>
      </c>
      <c r="AB8">
        <v>53.3</v>
      </c>
      <c r="AC8">
        <f t="shared" si="7"/>
        <v>1066</v>
      </c>
      <c r="AD8">
        <f t="shared" si="8"/>
        <v>2200.75</v>
      </c>
    </row>
    <row r="9" ht="21" spans="1:30">
      <c r="A9" s="3">
        <v>8</v>
      </c>
      <c r="B9" s="3" t="s">
        <v>25</v>
      </c>
      <c r="C9" s="3"/>
      <c r="D9" s="3"/>
      <c r="E9" s="3">
        <v>56.5</v>
      </c>
      <c r="F9" s="3">
        <v>31</v>
      </c>
      <c r="G9" s="3">
        <f t="shared" si="0"/>
        <v>1751.5</v>
      </c>
      <c r="H9" s="3">
        <v>100</v>
      </c>
      <c r="I9" s="3">
        <v>831</v>
      </c>
      <c r="J9" s="3">
        <f t="shared" si="1"/>
        <v>2682.5</v>
      </c>
      <c r="L9" s="3">
        <v>8</v>
      </c>
      <c r="M9" s="6" t="s">
        <v>25</v>
      </c>
      <c r="N9" s="6">
        <v>66.9</v>
      </c>
      <c r="O9" s="6">
        <v>32</v>
      </c>
      <c r="P9" s="2">
        <f t="shared" si="2"/>
        <v>2682.5</v>
      </c>
      <c r="Q9" s="4">
        <v>2000</v>
      </c>
      <c r="R9" s="2">
        <f t="shared" si="3"/>
        <v>682.5</v>
      </c>
      <c r="S9" s="8">
        <f t="shared" si="4"/>
        <v>2140.8</v>
      </c>
      <c r="T9" s="2">
        <f t="shared" si="5"/>
        <v>2823.3</v>
      </c>
      <c r="W9" s="6" t="s">
        <v>25</v>
      </c>
      <c r="X9">
        <v>3614.7</v>
      </c>
      <c r="Y9">
        <v>3100</v>
      </c>
      <c r="Z9" s="2">
        <f t="shared" si="6"/>
        <v>514.7</v>
      </c>
      <c r="AA9">
        <v>56</v>
      </c>
      <c r="AB9">
        <v>53.3</v>
      </c>
      <c r="AC9">
        <f t="shared" si="7"/>
        <v>2984.8</v>
      </c>
      <c r="AD9">
        <f t="shared" si="8"/>
        <v>3499.5</v>
      </c>
    </row>
    <row r="10" ht="21" spans="1:30">
      <c r="A10" s="3">
        <v>9</v>
      </c>
      <c r="B10" s="3" t="s">
        <v>26</v>
      </c>
      <c r="C10" s="3"/>
      <c r="D10" s="3"/>
      <c r="E10" s="3">
        <v>56.5</v>
      </c>
      <c r="F10" s="3">
        <v>34</v>
      </c>
      <c r="G10" s="3">
        <f t="shared" si="0"/>
        <v>1921</v>
      </c>
      <c r="H10" s="3">
        <v>100</v>
      </c>
      <c r="I10" s="3">
        <v>334.5</v>
      </c>
      <c r="J10" s="3">
        <f t="shared" si="1"/>
        <v>2355.5</v>
      </c>
      <c r="L10" s="3">
        <v>9</v>
      </c>
      <c r="M10" s="6" t="s">
        <v>26</v>
      </c>
      <c r="N10" s="6">
        <v>66.9</v>
      </c>
      <c r="O10" s="6">
        <v>7</v>
      </c>
      <c r="P10" s="2">
        <f t="shared" si="2"/>
        <v>2355.5</v>
      </c>
      <c r="Q10" s="4">
        <v>2000</v>
      </c>
      <c r="R10" s="2">
        <f t="shared" si="3"/>
        <v>355.5</v>
      </c>
      <c r="S10" s="8">
        <f t="shared" si="4"/>
        <v>468.3</v>
      </c>
      <c r="T10" s="2">
        <f t="shared" si="5"/>
        <v>823.8</v>
      </c>
      <c r="W10" s="6" t="s">
        <v>26</v>
      </c>
      <c r="X10">
        <v>1408.55</v>
      </c>
      <c r="Y10">
        <v>1410</v>
      </c>
      <c r="Z10" s="2">
        <f t="shared" si="6"/>
        <v>-1.45000000000005</v>
      </c>
      <c r="AA10">
        <v>51</v>
      </c>
      <c r="AB10">
        <v>53.3</v>
      </c>
      <c r="AC10">
        <f t="shared" si="7"/>
        <v>2718.3</v>
      </c>
      <c r="AD10">
        <f t="shared" si="8"/>
        <v>2716.85</v>
      </c>
    </row>
    <row r="11" ht="21" spans="1:30">
      <c r="A11" s="3">
        <v>10</v>
      </c>
      <c r="B11" s="3" t="s">
        <v>27</v>
      </c>
      <c r="C11" s="3"/>
      <c r="D11" s="3"/>
      <c r="E11" s="3">
        <v>56.5</v>
      </c>
      <c r="F11" s="3">
        <v>17</v>
      </c>
      <c r="G11" s="3">
        <f t="shared" si="0"/>
        <v>960.5</v>
      </c>
      <c r="H11" s="3">
        <v>100</v>
      </c>
      <c r="I11" s="3">
        <v>1745</v>
      </c>
      <c r="J11" s="3">
        <f t="shared" si="1"/>
        <v>2805.5</v>
      </c>
      <c r="L11" s="3">
        <v>10</v>
      </c>
      <c r="M11" s="6" t="s">
        <v>27</v>
      </c>
      <c r="N11" s="6">
        <v>66.9</v>
      </c>
      <c r="O11" s="6"/>
      <c r="P11" s="2">
        <f t="shared" si="2"/>
        <v>2805.5</v>
      </c>
      <c r="Q11" s="4">
        <v>2450</v>
      </c>
      <c r="R11" s="2">
        <f t="shared" si="3"/>
        <v>355.5</v>
      </c>
      <c r="S11" s="8">
        <f t="shared" si="4"/>
        <v>0</v>
      </c>
      <c r="T11" s="2">
        <f t="shared" si="5"/>
        <v>355.5</v>
      </c>
      <c r="W11" s="6" t="s">
        <v>27</v>
      </c>
      <c r="X11">
        <v>594.1</v>
      </c>
      <c r="Y11">
        <v>0</v>
      </c>
      <c r="Z11" s="2">
        <f t="shared" si="6"/>
        <v>594.1</v>
      </c>
      <c r="AA11">
        <v>20</v>
      </c>
      <c r="AB11">
        <v>53.3</v>
      </c>
      <c r="AC11">
        <f t="shared" si="7"/>
        <v>1066</v>
      </c>
      <c r="AD11">
        <f t="shared" si="8"/>
        <v>1660.1</v>
      </c>
    </row>
    <row r="12" ht="21" spans="1:30">
      <c r="A12" s="3">
        <v>11</v>
      </c>
      <c r="B12" s="3" t="s">
        <v>28</v>
      </c>
      <c r="C12" s="3"/>
      <c r="D12" s="3"/>
      <c r="E12" s="3">
        <v>56.5</v>
      </c>
      <c r="F12" s="3">
        <v>31</v>
      </c>
      <c r="G12" s="3">
        <f t="shared" si="0"/>
        <v>1751.5</v>
      </c>
      <c r="H12" s="3">
        <v>400</v>
      </c>
      <c r="I12" s="3">
        <v>947</v>
      </c>
      <c r="J12" s="3">
        <f t="shared" si="1"/>
        <v>3098.5</v>
      </c>
      <c r="L12" s="3">
        <v>11</v>
      </c>
      <c r="M12" s="6" t="s">
        <v>28</v>
      </c>
      <c r="N12" s="6">
        <v>66.9</v>
      </c>
      <c r="O12" s="6">
        <v>13</v>
      </c>
      <c r="P12" s="2">
        <f t="shared" si="2"/>
        <v>3098.5</v>
      </c>
      <c r="Q12" s="4">
        <v>1000</v>
      </c>
      <c r="R12" s="2">
        <f t="shared" si="3"/>
        <v>2098.5</v>
      </c>
      <c r="S12" s="8">
        <f t="shared" si="4"/>
        <v>869.7</v>
      </c>
      <c r="T12" s="2">
        <f t="shared" si="5"/>
        <v>2968.2</v>
      </c>
      <c r="W12" s="6" t="s">
        <v>28</v>
      </c>
      <c r="X12">
        <v>2052.65</v>
      </c>
      <c r="Y12">
        <v>1000</v>
      </c>
      <c r="Z12" s="2">
        <f t="shared" si="6"/>
        <v>1052.65</v>
      </c>
      <c r="AA12">
        <v>10</v>
      </c>
      <c r="AB12">
        <v>53.3</v>
      </c>
      <c r="AC12">
        <f t="shared" si="7"/>
        <v>533</v>
      </c>
      <c r="AD12">
        <f t="shared" si="8"/>
        <v>1585.65</v>
      </c>
    </row>
    <row r="13" ht="21" spans="1:30">
      <c r="A13" s="3">
        <v>12</v>
      </c>
      <c r="B13" s="3" t="s">
        <v>29</v>
      </c>
      <c r="C13" s="3"/>
      <c r="D13" s="3"/>
      <c r="E13" s="3">
        <v>56.5</v>
      </c>
      <c r="F13" s="3">
        <v>23</v>
      </c>
      <c r="G13" s="3">
        <f t="shared" si="0"/>
        <v>1299.5</v>
      </c>
      <c r="H13" s="3">
        <v>400</v>
      </c>
      <c r="I13" s="3">
        <v>2477.5</v>
      </c>
      <c r="J13" s="3">
        <f t="shared" si="1"/>
        <v>4177</v>
      </c>
      <c r="L13" s="3">
        <v>12</v>
      </c>
      <c r="M13" s="6" t="s">
        <v>29</v>
      </c>
      <c r="N13" s="6">
        <v>66.9</v>
      </c>
      <c r="O13" s="6">
        <v>25</v>
      </c>
      <c r="P13" s="2">
        <f t="shared" si="2"/>
        <v>4177</v>
      </c>
      <c r="Q13" s="4">
        <v>1000</v>
      </c>
      <c r="R13" s="2">
        <f t="shared" si="3"/>
        <v>3177</v>
      </c>
      <c r="S13" s="8">
        <f t="shared" si="4"/>
        <v>1672.5</v>
      </c>
      <c r="T13" s="2">
        <f t="shared" si="5"/>
        <v>4849.5</v>
      </c>
      <c r="W13" s="6" t="s">
        <v>29</v>
      </c>
      <c r="X13">
        <v>5710.55</v>
      </c>
      <c r="Y13">
        <v>5300</v>
      </c>
      <c r="Z13" s="2">
        <f t="shared" si="6"/>
        <v>410.55</v>
      </c>
      <c r="AA13">
        <v>32</v>
      </c>
      <c r="AB13">
        <v>53.3</v>
      </c>
      <c r="AC13">
        <f t="shared" si="7"/>
        <v>1705.6</v>
      </c>
      <c r="AD13">
        <f t="shared" si="8"/>
        <v>2116.15</v>
      </c>
    </row>
    <row r="14" ht="21" spans="1:30">
      <c r="A14" s="3">
        <v>13</v>
      </c>
      <c r="B14" s="3" t="s">
        <v>30</v>
      </c>
      <c r="C14" s="3"/>
      <c r="D14" s="3"/>
      <c r="E14" s="3">
        <v>56.5</v>
      </c>
      <c r="F14" s="3">
        <v>25</v>
      </c>
      <c r="G14" s="3">
        <f t="shared" si="0"/>
        <v>1412.5</v>
      </c>
      <c r="H14" s="3">
        <v>100</v>
      </c>
      <c r="I14" s="3">
        <v>1806</v>
      </c>
      <c r="J14" s="3">
        <f t="shared" si="1"/>
        <v>3318.5</v>
      </c>
      <c r="L14" s="3">
        <v>13</v>
      </c>
      <c r="M14" s="6" t="s">
        <v>30</v>
      </c>
      <c r="N14" s="6">
        <v>66.9</v>
      </c>
      <c r="O14" s="6"/>
      <c r="P14" s="2">
        <f t="shared" si="2"/>
        <v>3318.5</v>
      </c>
      <c r="Q14" s="4">
        <v>0</v>
      </c>
      <c r="R14" s="2">
        <f t="shared" si="3"/>
        <v>3318.5</v>
      </c>
      <c r="S14" s="8">
        <f t="shared" si="4"/>
        <v>0</v>
      </c>
      <c r="T14" s="2">
        <f t="shared" si="5"/>
        <v>3318.5</v>
      </c>
      <c r="W14" s="6" t="s">
        <v>30</v>
      </c>
      <c r="X14">
        <v>3557.1</v>
      </c>
      <c r="Y14">
        <v>3000</v>
      </c>
      <c r="Z14" s="2">
        <f t="shared" si="6"/>
        <v>557.1</v>
      </c>
      <c r="AA14">
        <v>13</v>
      </c>
      <c r="AB14">
        <v>53.3</v>
      </c>
      <c r="AC14">
        <f t="shared" si="7"/>
        <v>692.9</v>
      </c>
      <c r="AD14">
        <f t="shared" si="8"/>
        <v>1250</v>
      </c>
    </row>
    <row r="15" ht="21" spans="1:30">
      <c r="A15" s="3">
        <v>14</v>
      </c>
      <c r="B15" s="3" t="s">
        <v>31</v>
      </c>
      <c r="C15" s="3"/>
      <c r="D15" s="3"/>
      <c r="E15" s="3">
        <v>56.5</v>
      </c>
      <c r="F15" s="3">
        <v>35</v>
      </c>
      <c r="G15" s="3">
        <f t="shared" si="0"/>
        <v>1977.5</v>
      </c>
      <c r="H15" s="3">
        <v>100</v>
      </c>
      <c r="I15" s="3">
        <v>1889.5</v>
      </c>
      <c r="J15" s="3">
        <f t="shared" si="1"/>
        <v>3967</v>
      </c>
      <c r="L15" s="3">
        <v>14</v>
      </c>
      <c r="M15" s="6" t="s">
        <v>31</v>
      </c>
      <c r="N15" s="6">
        <v>66.9</v>
      </c>
      <c r="O15" s="6">
        <v>22</v>
      </c>
      <c r="P15" s="2">
        <f t="shared" si="2"/>
        <v>3967</v>
      </c>
      <c r="Q15" s="4">
        <v>3000</v>
      </c>
      <c r="R15" s="2">
        <f t="shared" si="3"/>
        <v>967</v>
      </c>
      <c r="S15" s="8">
        <f t="shared" si="4"/>
        <v>1471.8</v>
      </c>
      <c r="T15" s="2">
        <f t="shared" si="5"/>
        <v>2438.8</v>
      </c>
      <c r="W15" s="6" t="s">
        <v>31</v>
      </c>
      <c r="X15">
        <v>2245.6</v>
      </c>
      <c r="Y15">
        <v>1000</v>
      </c>
      <c r="Z15" s="2">
        <f t="shared" si="6"/>
        <v>1245.6</v>
      </c>
      <c r="AA15">
        <v>32</v>
      </c>
      <c r="AB15">
        <v>53.3</v>
      </c>
      <c r="AC15">
        <f t="shared" si="7"/>
        <v>1705.6</v>
      </c>
      <c r="AD15">
        <f t="shared" si="8"/>
        <v>2951.2</v>
      </c>
    </row>
    <row r="16" ht="21" spans="1:30">
      <c r="A16" s="3">
        <v>15</v>
      </c>
      <c r="B16" s="3" t="s">
        <v>32</v>
      </c>
      <c r="C16" s="3"/>
      <c r="D16" s="3"/>
      <c r="E16" s="3">
        <v>56.5</v>
      </c>
      <c r="F16" s="3">
        <v>37</v>
      </c>
      <c r="G16" s="3">
        <f t="shared" si="0"/>
        <v>2090.5</v>
      </c>
      <c r="H16" s="3">
        <v>100</v>
      </c>
      <c r="I16" s="3">
        <v>2562.5</v>
      </c>
      <c r="J16" s="3">
        <f t="shared" si="1"/>
        <v>4753</v>
      </c>
      <c r="L16" s="3">
        <v>15</v>
      </c>
      <c r="M16" s="6" t="s">
        <v>32</v>
      </c>
      <c r="N16" s="6">
        <v>66.9</v>
      </c>
      <c r="O16" s="6">
        <v>41</v>
      </c>
      <c r="P16" s="2">
        <f t="shared" si="2"/>
        <v>4753</v>
      </c>
      <c r="Q16" s="4">
        <v>3000</v>
      </c>
      <c r="R16" s="2">
        <f t="shared" si="3"/>
        <v>1753</v>
      </c>
      <c r="S16" s="8">
        <f t="shared" si="4"/>
        <v>2742.9</v>
      </c>
      <c r="T16" s="2">
        <f t="shared" si="5"/>
        <v>4495.9</v>
      </c>
      <c r="W16" s="6" t="s">
        <v>32</v>
      </c>
      <c r="X16">
        <v>3910.55</v>
      </c>
      <c r="Y16">
        <v>3000</v>
      </c>
      <c r="Z16" s="2">
        <f t="shared" si="6"/>
        <v>910.55</v>
      </c>
      <c r="AA16">
        <v>43</v>
      </c>
      <c r="AB16">
        <v>53.3</v>
      </c>
      <c r="AC16">
        <f t="shared" si="7"/>
        <v>2291.9</v>
      </c>
      <c r="AD16">
        <f t="shared" si="8"/>
        <v>3202.45</v>
      </c>
    </row>
    <row r="17" ht="21" spans="1:30">
      <c r="A17" s="3">
        <v>16</v>
      </c>
      <c r="B17" s="3" t="s">
        <v>33</v>
      </c>
      <c r="C17" s="3"/>
      <c r="D17" s="3"/>
      <c r="E17" s="3">
        <v>56.5</v>
      </c>
      <c r="F17" s="3">
        <v>17</v>
      </c>
      <c r="G17" s="3">
        <f t="shared" si="0"/>
        <v>960.5</v>
      </c>
      <c r="H17" s="3">
        <v>100</v>
      </c>
      <c r="I17" s="3">
        <v>3811.5</v>
      </c>
      <c r="J17" s="3">
        <f t="shared" si="1"/>
        <v>4872</v>
      </c>
      <c r="L17" s="3">
        <v>16</v>
      </c>
      <c r="M17" s="6" t="s">
        <v>33</v>
      </c>
      <c r="N17" s="6">
        <v>66.9</v>
      </c>
      <c r="O17" s="6">
        <v>21</v>
      </c>
      <c r="P17" s="2">
        <f t="shared" si="2"/>
        <v>4872</v>
      </c>
      <c r="Q17" s="4">
        <v>2500</v>
      </c>
      <c r="R17" s="2">
        <f t="shared" si="3"/>
        <v>2372</v>
      </c>
      <c r="S17" s="8">
        <f t="shared" si="4"/>
        <v>1404.9</v>
      </c>
      <c r="T17" s="2">
        <f t="shared" si="5"/>
        <v>3776.9</v>
      </c>
      <c r="W17" s="6" t="s">
        <v>33</v>
      </c>
      <c r="X17">
        <v>5192.55</v>
      </c>
      <c r="Y17">
        <v>3000</v>
      </c>
      <c r="Z17" s="2">
        <f t="shared" si="6"/>
        <v>2192.55</v>
      </c>
      <c r="AA17">
        <v>20</v>
      </c>
      <c r="AB17">
        <v>53.3</v>
      </c>
      <c r="AC17">
        <f t="shared" si="7"/>
        <v>1066</v>
      </c>
      <c r="AD17">
        <f t="shared" si="8"/>
        <v>3258.55</v>
      </c>
    </row>
    <row r="18" ht="21" spans="1:30">
      <c r="A18" s="3">
        <v>17</v>
      </c>
      <c r="B18" s="3" t="s">
        <v>34</v>
      </c>
      <c r="C18" s="3"/>
      <c r="D18" s="3"/>
      <c r="E18" s="3">
        <v>56.5</v>
      </c>
      <c r="F18" s="3">
        <v>40</v>
      </c>
      <c r="G18" s="3">
        <f t="shared" si="0"/>
        <v>2260</v>
      </c>
      <c r="H18" s="3">
        <v>100</v>
      </c>
      <c r="I18" s="3">
        <v>1331</v>
      </c>
      <c r="J18" s="3">
        <f t="shared" si="1"/>
        <v>3691</v>
      </c>
      <c r="L18" s="3">
        <v>17</v>
      </c>
      <c r="M18" s="6" t="s">
        <v>34</v>
      </c>
      <c r="N18" s="6">
        <v>66.9</v>
      </c>
      <c r="O18" s="6">
        <v>25</v>
      </c>
      <c r="P18" s="2">
        <f t="shared" si="2"/>
        <v>3691</v>
      </c>
      <c r="Q18" s="4">
        <v>3100</v>
      </c>
      <c r="R18" s="2">
        <f t="shared" si="3"/>
        <v>591</v>
      </c>
      <c r="S18" s="8">
        <f t="shared" si="4"/>
        <v>1672.5</v>
      </c>
      <c r="T18" s="2">
        <f t="shared" si="5"/>
        <v>2263.5</v>
      </c>
      <c r="W18" s="6" t="s">
        <v>34</v>
      </c>
      <c r="X18">
        <v>1778.05</v>
      </c>
      <c r="Y18">
        <v>1500</v>
      </c>
      <c r="Z18" s="2">
        <f t="shared" si="6"/>
        <v>278.05</v>
      </c>
      <c r="AA18">
        <v>56</v>
      </c>
      <c r="AB18">
        <v>53.3</v>
      </c>
      <c r="AC18">
        <f t="shared" si="7"/>
        <v>2984.8</v>
      </c>
      <c r="AD18">
        <f t="shared" si="8"/>
        <v>3262.85</v>
      </c>
    </row>
    <row r="19" ht="21" spans="1:30">
      <c r="A19" s="3">
        <v>18</v>
      </c>
      <c r="B19" s="3" t="s">
        <v>35</v>
      </c>
      <c r="C19" s="3"/>
      <c r="D19" s="3"/>
      <c r="E19" s="3">
        <v>56.5</v>
      </c>
      <c r="F19" s="3">
        <v>41</v>
      </c>
      <c r="G19" s="3">
        <f t="shared" si="0"/>
        <v>2316.5</v>
      </c>
      <c r="H19" s="3">
        <v>400</v>
      </c>
      <c r="I19" s="3">
        <v>1878</v>
      </c>
      <c r="J19" s="3">
        <f t="shared" si="1"/>
        <v>4594.5</v>
      </c>
      <c r="L19" s="3">
        <v>18</v>
      </c>
      <c r="M19" s="6" t="s">
        <v>35</v>
      </c>
      <c r="N19" s="6">
        <v>66.9</v>
      </c>
      <c r="O19" s="6">
        <v>8</v>
      </c>
      <c r="P19" s="2">
        <v>4334</v>
      </c>
      <c r="Q19" s="4">
        <v>3500</v>
      </c>
      <c r="R19" s="2">
        <f t="shared" si="3"/>
        <v>834</v>
      </c>
      <c r="S19" s="8">
        <f t="shared" si="4"/>
        <v>535.2</v>
      </c>
      <c r="T19" s="2">
        <f t="shared" si="5"/>
        <v>1369.2</v>
      </c>
      <c r="W19" s="6" t="s">
        <v>35</v>
      </c>
      <c r="X19">
        <v>1953.9</v>
      </c>
      <c r="Y19">
        <v>1500</v>
      </c>
      <c r="Z19" s="2">
        <f t="shared" si="6"/>
        <v>453.9</v>
      </c>
      <c r="AA19">
        <v>24</v>
      </c>
      <c r="AB19">
        <v>53.3</v>
      </c>
      <c r="AC19">
        <f t="shared" si="7"/>
        <v>1279.2</v>
      </c>
      <c r="AD19">
        <f t="shared" si="8"/>
        <v>1733.1</v>
      </c>
    </row>
    <row r="20" ht="21" spans="1:30">
      <c r="A20" s="3">
        <v>19</v>
      </c>
      <c r="B20" s="3" t="s">
        <v>36</v>
      </c>
      <c r="C20" s="3"/>
      <c r="D20" s="3"/>
      <c r="E20" s="3">
        <v>56.5</v>
      </c>
      <c r="F20" s="3">
        <v>24</v>
      </c>
      <c r="G20" s="3">
        <f t="shared" si="0"/>
        <v>1356</v>
      </c>
      <c r="H20" s="3">
        <v>100</v>
      </c>
      <c r="I20" s="3">
        <v>154</v>
      </c>
      <c r="J20" s="3">
        <f t="shared" si="1"/>
        <v>1610</v>
      </c>
      <c r="L20" s="3">
        <v>19</v>
      </c>
      <c r="M20" s="6" t="s">
        <v>36</v>
      </c>
      <c r="N20" s="6">
        <v>66.9</v>
      </c>
      <c r="O20" s="6">
        <v>20</v>
      </c>
      <c r="P20" s="2">
        <v>1485</v>
      </c>
      <c r="Q20" s="4">
        <v>500</v>
      </c>
      <c r="R20" s="2">
        <f t="shared" si="3"/>
        <v>985</v>
      </c>
      <c r="S20" s="8">
        <f t="shared" si="4"/>
        <v>1338</v>
      </c>
      <c r="T20" s="2">
        <f t="shared" si="5"/>
        <v>2323</v>
      </c>
      <c r="W20" s="6" t="s">
        <v>36</v>
      </c>
      <c r="X20">
        <v>2545.7</v>
      </c>
      <c r="Y20">
        <v>3000</v>
      </c>
      <c r="Z20" s="2">
        <f t="shared" si="6"/>
        <v>-454.3</v>
      </c>
      <c r="AA20">
        <v>28</v>
      </c>
      <c r="AB20">
        <v>53.3</v>
      </c>
      <c r="AC20">
        <f t="shared" si="7"/>
        <v>1492.4</v>
      </c>
      <c r="AD20">
        <f t="shared" si="8"/>
        <v>1038.1</v>
      </c>
    </row>
    <row r="21" ht="21" spans="1:30">
      <c r="A21" s="3">
        <v>20</v>
      </c>
      <c r="B21" s="3" t="s">
        <v>37</v>
      </c>
      <c r="C21" s="3"/>
      <c r="D21" s="3"/>
      <c r="E21" s="3">
        <v>56.5</v>
      </c>
      <c r="F21" s="3">
        <v>31</v>
      </c>
      <c r="G21" s="3">
        <f t="shared" si="0"/>
        <v>1751.5</v>
      </c>
      <c r="H21" s="3">
        <v>100</v>
      </c>
      <c r="I21" s="3">
        <v>10.5</v>
      </c>
      <c r="J21" s="3">
        <f t="shared" si="1"/>
        <v>1862</v>
      </c>
      <c r="L21" s="3">
        <v>20</v>
      </c>
      <c r="M21" s="6" t="s">
        <v>37</v>
      </c>
      <c r="N21" s="6">
        <v>66.9</v>
      </c>
      <c r="O21" s="6">
        <v>38</v>
      </c>
      <c r="P21" s="2">
        <f t="shared" si="2"/>
        <v>1862</v>
      </c>
      <c r="Q21" s="4">
        <v>2000</v>
      </c>
      <c r="R21" s="2">
        <f t="shared" si="3"/>
        <v>-138</v>
      </c>
      <c r="S21" s="8">
        <f t="shared" si="4"/>
        <v>2542.2</v>
      </c>
      <c r="T21" s="2">
        <f t="shared" si="5"/>
        <v>2404.2</v>
      </c>
      <c r="W21" s="6" t="s">
        <v>37</v>
      </c>
      <c r="X21">
        <v>1180.4</v>
      </c>
      <c r="Y21">
        <v>1200</v>
      </c>
      <c r="Z21" s="2">
        <f t="shared" si="6"/>
        <v>-19.5999999999999</v>
      </c>
      <c r="AA21">
        <v>45</v>
      </c>
      <c r="AB21">
        <v>53.3</v>
      </c>
      <c r="AC21">
        <f t="shared" si="7"/>
        <v>2398.5</v>
      </c>
      <c r="AD21">
        <f t="shared" si="8"/>
        <v>2378.9</v>
      </c>
    </row>
    <row r="22" ht="21" spans="1:30">
      <c r="A22" s="3">
        <v>21</v>
      </c>
      <c r="B22" s="3" t="s">
        <v>38</v>
      </c>
      <c r="C22" s="3"/>
      <c r="D22" s="3"/>
      <c r="E22" s="3">
        <v>56.5</v>
      </c>
      <c r="F22" s="3">
        <v>26</v>
      </c>
      <c r="G22" s="3">
        <f t="shared" si="0"/>
        <v>1469</v>
      </c>
      <c r="H22" s="3">
        <v>100</v>
      </c>
      <c r="I22" s="3">
        <v>400.5</v>
      </c>
      <c r="J22" s="3">
        <f t="shared" si="1"/>
        <v>1969.5</v>
      </c>
      <c r="L22" s="3">
        <v>21</v>
      </c>
      <c r="M22" s="6" t="s">
        <v>38</v>
      </c>
      <c r="N22" s="6">
        <v>66.9</v>
      </c>
      <c r="O22" s="6">
        <v>42</v>
      </c>
      <c r="P22" s="2">
        <f t="shared" si="2"/>
        <v>1969.5</v>
      </c>
      <c r="Q22" s="4">
        <v>2000</v>
      </c>
      <c r="R22" s="2">
        <f t="shared" si="3"/>
        <v>-30.5</v>
      </c>
      <c r="S22" s="8">
        <f t="shared" si="4"/>
        <v>2809.8</v>
      </c>
      <c r="T22" s="2">
        <f t="shared" si="5"/>
        <v>2779.3</v>
      </c>
      <c r="W22" s="6" t="s">
        <v>38</v>
      </c>
      <c r="X22">
        <v>2109.7</v>
      </c>
      <c r="Y22">
        <v>2000</v>
      </c>
      <c r="Z22" s="2">
        <f t="shared" si="6"/>
        <v>109.7</v>
      </c>
      <c r="AA22">
        <v>55</v>
      </c>
      <c r="AB22">
        <v>53.3</v>
      </c>
      <c r="AC22">
        <f t="shared" si="7"/>
        <v>2931.5</v>
      </c>
      <c r="AD22">
        <f t="shared" si="8"/>
        <v>3041.2</v>
      </c>
    </row>
    <row r="23" ht="21" spans="1:30">
      <c r="A23" s="3">
        <v>22</v>
      </c>
      <c r="B23" s="3" t="s">
        <v>39</v>
      </c>
      <c r="C23" s="3"/>
      <c r="D23" s="3"/>
      <c r="E23" s="3">
        <v>56.5</v>
      </c>
      <c r="F23" s="3">
        <v>54</v>
      </c>
      <c r="G23" s="3">
        <f t="shared" si="0"/>
        <v>3051</v>
      </c>
      <c r="H23" s="3">
        <v>100</v>
      </c>
      <c r="I23" s="3">
        <v>989.5</v>
      </c>
      <c r="J23" s="3">
        <f t="shared" si="1"/>
        <v>4140.5</v>
      </c>
      <c r="L23" s="3">
        <v>22</v>
      </c>
      <c r="M23" s="6" t="s">
        <v>39</v>
      </c>
      <c r="N23" s="6">
        <v>66.9</v>
      </c>
      <c r="O23" s="6">
        <v>30</v>
      </c>
      <c r="P23" s="2">
        <f t="shared" si="2"/>
        <v>4140.5</v>
      </c>
      <c r="Q23" s="4">
        <v>3680</v>
      </c>
      <c r="R23" s="2">
        <f t="shared" si="3"/>
        <v>460.5</v>
      </c>
      <c r="S23" s="8">
        <f t="shared" si="4"/>
        <v>2007</v>
      </c>
      <c r="T23" s="2">
        <f t="shared" si="5"/>
        <v>2467.5</v>
      </c>
      <c r="W23" s="6" t="s">
        <v>39</v>
      </c>
      <c r="X23">
        <v>3259</v>
      </c>
      <c r="Y23">
        <v>2000</v>
      </c>
      <c r="Z23" s="2">
        <f t="shared" si="6"/>
        <v>1259</v>
      </c>
      <c r="AA23">
        <v>53</v>
      </c>
      <c r="AB23">
        <v>53.3</v>
      </c>
      <c r="AC23">
        <f t="shared" si="7"/>
        <v>2824.9</v>
      </c>
      <c r="AD23">
        <f t="shared" si="8"/>
        <v>4083.9</v>
      </c>
    </row>
    <row r="24" ht="21" spans="1:30">
      <c r="A24" s="3">
        <v>23</v>
      </c>
      <c r="B24" s="3" t="s">
        <v>40</v>
      </c>
      <c r="C24" s="3"/>
      <c r="D24" s="3"/>
      <c r="E24" s="3">
        <v>56.5</v>
      </c>
      <c r="F24" s="3">
        <v>29</v>
      </c>
      <c r="G24" s="3">
        <f t="shared" si="0"/>
        <v>1638.5</v>
      </c>
      <c r="H24" s="3">
        <v>100</v>
      </c>
      <c r="I24" s="3">
        <v>390</v>
      </c>
      <c r="J24" s="3">
        <f t="shared" si="1"/>
        <v>2128.5</v>
      </c>
      <c r="L24" s="3">
        <v>23</v>
      </c>
      <c r="M24" s="6" t="s">
        <v>40</v>
      </c>
      <c r="N24" s="6">
        <v>66.9</v>
      </c>
      <c r="O24" s="6">
        <v>11</v>
      </c>
      <c r="P24" s="2">
        <f t="shared" si="2"/>
        <v>2128.5</v>
      </c>
      <c r="Q24" s="4">
        <v>500</v>
      </c>
      <c r="R24" s="2">
        <f t="shared" si="3"/>
        <v>1628.5</v>
      </c>
      <c r="S24" s="8">
        <f t="shared" si="4"/>
        <v>735.9</v>
      </c>
      <c r="T24" s="2">
        <f t="shared" si="5"/>
        <v>2364.4</v>
      </c>
      <c r="W24" s="6" t="s">
        <v>40</v>
      </c>
      <c r="X24">
        <v>1879.65</v>
      </c>
      <c r="Y24">
        <v>1000</v>
      </c>
      <c r="Z24" s="2">
        <f t="shared" si="6"/>
        <v>879.65</v>
      </c>
      <c r="AA24">
        <v>37</v>
      </c>
      <c r="AB24">
        <v>53.3</v>
      </c>
      <c r="AC24">
        <f t="shared" si="7"/>
        <v>1972.1</v>
      </c>
      <c r="AD24">
        <f t="shared" si="8"/>
        <v>2851.75</v>
      </c>
    </row>
    <row r="25" ht="21" spans="1:30">
      <c r="A25" s="3">
        <v>24</v>
      </c>
      <c r="B25" s="3" t="s">
        <v>41</v>
      </c>
      <c r="C25" s="3"/>
      <c r="D25" s="3"/>
      <c r="E25" s="3">
        <v>56.5</v>
      </c>
      <c r="F25" s="3">
        <v>51</v>
      </c>
      <c r="G25" s="3">
        <f t="shared" si="0"/>
        <v>2881.5</v>
      </c>
      <c r="H25" s="3">
        <v>100</v>
      </c>
      <c r="I25" s="3">
        <v>984.5</v>
      </c>
      <c r="J25" s="3">
        <f t="shared" si="1"/>
        <v>3966</v>
      </c>
      <c r="L25" s="3">
        <v>24</v>
      </c>
      <c r="M25" s="6" t="s">
        <v>41</v>
      </c>
      <c r="N25" s="6">
        <v>66.9</v>
      </c>
      <c r="O25" s="6">
        <v>22</v>
      </c>
      <c r="P25" s="2">
        <f t="shared" si="2"/>
        <v>3966</v>
      </c>
      <c r="Q25" s="4">
        <v>0</v>
      </c>
      <c r="R25" s="2">
        <f t="shared" si="3"/>
        <v>3966</v>
      </c>
      <c r="S25" s="8">
        <f t="shared" si="4"/>
        <v>1471.8</v>
      </c>
      <c r="T25" s="2">
        <f t="shared" si="5"/>
        <v>5437.8</v>
      </c>
      <c r="W25" s="6" t="s">
        <v>41</v>
      </c>
      <c r="X25">
        <v>5883.2</v>
      </c>
      <c r="Y25">
        <v>5500</v>
      </c>
      <c r="Z25" s="2">
        <f t="shared" si="6"/>
        <v>383.2</v>
      </c>
      <c r="AA25">
        <v>43</v>
      </c>
      <c r="AB25">
        <v>53.3</v>
      </c>
      <c r="AC25">
        <f t="shared" si="7"/>
        <v>2291.9</v>
      </c>
      <c r="AD25">
        <f t="shared" si="8"/>
        <v>2675.1</v>
      </c>
    </row>
    <row r="26" ht="21" spans="1:30">
      <c r="A26" s="3">
        <v>25</v>
      </c>
      <c r="B26" s="3" t="s">
        <v>42</v>
      </c>
      <c r="C26" s="3"/>
      <c r="D26" s="3"/>
      <c r="E26" s="3">
        <v>56.5</v>
      </c>
      <c r="F26" s="3">
        <v>35</v>
      </c>
      <c r="G26" s="3">
        <f t="shared" si="0"/>
        <v>1977.5</v>
      </c>
      <c r="H26" s="3">
        <v>100</v>
      </c>
      <c r="I26" s="3">
        <v>976</v>
      </c>
      <c r="J26" s="3">
        <f t="shared" si="1"/>
        <v>3053.5</v>
      </c>
      <c r="L26" s="3">
        <v>25</v>
      </c>
      <c r="M26" s="6" t="s">
        <v>42</v>
      </c>
      <c r="N26" s="6">
        <v>66.9</v>
      </c>
      <c r="O26" s="6">
        <v>36</v>
      </c>
      <c r="P26" s="2">
        <v>2053.5</v>
      </c>
      <c r="Q26" s="4">
        <v>2000</v>
      </c>
      <c r="R26" s="2">
        <f t="shared" si="3"/>
        <v>53.5</v>
      </c>
      <c r="S26" s="8">
        <f t="shared" si="4"/>
        <v>2408.4</v>
      </c>
      <c r="T26" s="2">
        <f t="shared" si="5"/>
        <v>2461.9</v>
      </c>
      <c r="W26" s="6" t="s">
        <v>42</v>
      </c>
      <c r="X26">
        <v>3461</v>
      </c>
      <c r="Y26">
        <v>2500</v>
      </c>
      <c r="Z26" s="2">
        <f t="shared" si="6"/>
        <v>961</v>
      </c>
      <c r="AA26">
        <v>42</v>
      </c>
      <c r="AB26">
        <v>53.3</v>
      </c>
      <c r="AC26">
        <f t="shared" si="7"/>
        <v>2238.6</v>
      </c>
      <c r="AD26">
        <f t="shared" si="8"/>
        <v>3199.6</v>
      </c>
    </row>
    <row r="27" ht="21" spans="1:30">
      <c r="A27" s="3">
        <v>26</v>
      </c>
      <c r="B27" s="3" t="s">
        <v>43</v>
      </c>
      <c r="C27" s="3"/>
      <c r="D27" s="3"/>
      <c r="E27" s="3">
        <v>56.5</v>
      </c>
      <c r="F27" s="3">
        <v>57</v>
      </c>
      <c r="G27" s="3">
        <f t="shared" si="0"/>
        <v>3220.5</v>
      </c>
      <c r="H27" s="3">
        <v>100</v>
      </c>
      <c r="I27" s="3">
        <v>73</v>
      </c>
      <c r="J27" s="3">
        <f t="shared" si="1"/>
        <v>3393.5</v>
      </c>
      <c r="L27" s="3">
        <v>26</v>
      </c>
      <c r="M27" s="6" t="s">
        <v>43</v>
      </c>
      <c r="N27" s="6">
        <v>66.9</v>
      </c>
      <c r="O27" s="6">
        <v>43</v>
      </c>
      <c r="P27" s="2">
        <f t="shared" si="2"/>
        <v>3393.5</v>
      </c>
      <c r="Q27" s="4">
        <v>3000</v>
      </c>
      <c r="R27" s="2">
        <f t="shared" si="3"/>
        <v>393.5</v>
      </c>
      <c r="S27" s="8">
        <f t="shared" si="4"/>
        <v>2876.7</v>
      </c>
      <c r="T27" s="2">
        <f t="shared" si="5"/>
        <v>3270.2</v>
      </c>
      <c r="W27" s="6" t="s">
        <v>43</v>
      </c>
      <c r="X27">
        <v>1268.95</v>
      </c>
      <c r="Y27">
        <v>560</v>
      </c>
      <c r="Z27" s="2">
        <f t="shared" si="6"/>
        <v>708.95</v>
      </c>
      <c r="AA27">
        <v>49</v>
      </c>
      <c r="AB27">
        <v>53.3</v>
      </c>
      <c r="AC27">
        <f t="shared" si="7"/>
        <v>2611.7</v>
      </c>
      <c r="AD27">
        <f t="shared" si="8"/>
        <v>3320.65</v>
      </c>
    </row>
    <row r="28" ht="21" spans="1:30">
      <c r="A28" s="3">
        <v>27</v>
      </c>
      <c r="B28" s="3" t="s">
        <v>44</v>
      </c>
      <c r="C28" s="3"/>
      <c r="D28" s="3"/>
      <c r="E28" s="3">
        <v>56.5</v>
      </c>
      <c r="F28" s="3">
        <v>29</v>
      </c>
      <c r="G28" s="3">
        <f t="shared" si="0"/>
        <v>1638.5</v>
      </c>
      <c r="H28" s="3">
        <v>100</v>
      </c>
      <c r="I28" s="3">
        <v>-86</v>
      </c>
      <c r="J28" s="3">
        <f t="shared" si="1"/>
        <v>1652.5</v>
      </c>
      <c r="L28" s="3">
        <v>27</v>
      </c>
      <c r="M28" s="6" t="s">
        <v>44</v>
      </c>
      <c r="N28" s="6">
        <v>66.9</v>
      </c>
      <c r="O28" s="6">
        <v>13</v>
      </c>
      <c r="P28" s="2">
        <f t="shared" si="2"/>
        <v>1652.5</v>
      </c>
      <c r="Q28" s="4">
        <v>1500</v>
      </c>
      <c r="R28" s="2">
        <f t="shared" si="3"/>
        <v>152.5</v>
      </c>
      <c r="S28" s="8">
        <f t="shared" si="4"/>
        <v>869.7</v>
      </c>
      <c r="T28" s="2">
        <f t="shared" si="5"/>
        <v>1022.2</v>
      </c>
      <c r="W28" s="6" t="s">
        <v>44</v>
      </c>
      <c r="X28">
        <v>1191.75</v>
      </c>
      <c r="Y28">
        <v>1000</v>
      </c>
      <c r="Z28" s="2">
        <f t="shared" si="6"/>
        <v>191.75</v>
      </c>
      <c r="AA28">
        <v>32</v>
      </c>
      <c r="AB28">
        <v>53.3</v>
      </c>
      <c r="AC28">
        <f t="shared" si="7"/>
        <v>1705.6</v>
      </c>
      <c r="AD28">
        <f t="shared" si="8"/>
        <v>1897.35</v>
      </c>
    </row>
    <row r="29" ht="21" spans="1:30">
      <c r="A29" s="3">
        <v>28</v>
      </c>
      <c r="B29" s="3" t="s">
        <v>45</v>
      </c>
      <c r="C29" s="3"/>
      <c r="D29" s="3"/>
      <c r="E29" s="3">
        <v>56.5</v>
      </c>
      <c r="F29" s="3">
        <v>46</v>
      </c>
      <c r="G29" s="3">
        <f t="shared" si="0"/>
        <v>2599</v>
      </c>
      <c r="H29" s="3">
        <v>400</v>
      </c>
      <c r="I29" s="3">
        <v>1289</v>
      </c>
      <c r="J29" s="3">
        <f t="shared" si="1"/>
        <v>4288</v>
      </c>
      <c r="L29" s="3">
        <v>28</v>
      </c>
      <c r="M29" s="6" t="s">
        <v>45</v>
      </c>
      <c r="N29" s="6">
        <v>66.9</v>
      </c>
      <c r="O29" s="6">
        <v>21</v>
      </c>
      <c r="P29" s="2">
        <f t="shared" si="2"/>
        <v>4288</v>
      </c>
      <c r="Q29" s="4">
        <v>2500</v>
      </c>
      <c r="R29" s="2">
        <f t="shared" si="3"/>
        <v>1788</v>
      </c>
      <c r="S29" s="8">
        <f t="shared" si="4"/>
        <v>1404.9</v>
      </c>
      <c r="T29" s="2">
        <f t="shared" si="5"/>
        <v>3192.9</v>
      </c>
      <c r="W29" s="6" t="s">
        <v>45</v>
      </c>
      <c r="X29">
        <v>2539.25</v>
      </c>
      <c r="Y29">
        <v>1000</v>
      </c>
      <c r="Z29" s="2">
        <f t="shared" si="6"/>
        <v>1539.25</v>
      </c>
      <c r="AA29">
        <v>30</v>
      </c>
      <c r="AB29">
        <v>53.3</v>
      </c>
      <c r="AC29">
        <f t="shared" si="7"/>
        <v>1599</v>
      </c>
      <c r="AD29">
        <f t="shared" si="8"/>
        <v>3138.25</v>
      </c>
    </row>
    <row r="30" ht="21" spans="1:30">
      <c r="A30" s="3">
        <v>29</v>
      </c>
      <c r="B30" s="3" t="s">
        <v>46</v>
      </c>
      <c r="C30" s="3"/>
      <c r="D30" s="3"/>
      <c r="E30" s="3">
        <v>56.5</v>
      </c>
      <c r="F30" s="3">
        <v>29</v>
      </c>
      <c r="G30" s="3">
        <f t="shared" si="0"/>
        <v>1638.5</v>
      </c>
      <c r="H30" s="3">
        <v>100</v>
      </c>
      <c r="I30" s="3">
        <v>253.5</v>
      </c>
      <c r="J30" s="3">
        <f t="shared" si="1"/>
        <v>1992</v>
      </c>
      <c r="L30" s="3">
        <v>29</v>
      </c>
      <c r="M30" s="6" t="s">
        <v>46</v>
      </c>
      <c r="N30" s="6">
        <v>66.9</v>
      </c>
      <c r="O30" s="6">
        <v>9</v>
      </c>
      <c r="P30" s="2">
        <f t="shared" si="2"/>
        <v>1992</v>
      </c>
      <c r="Q30" s="4">
        <v>1500</v>
      </c>
      <c r="R30" s="2">
        <f t="shared" si="3"/>
        <v>492</v>
      </c>
      <c r="S30" s="8">
        <f t="shared" si="4"/>
        <v>602.1</v>
      </c>
      <c r="T30" s="2">
        <f t="shared" si="5"/>
        <v>1094.1</v>
      </c>
      <c r="W30" s="6" t="s">
        <v>46</v>
      </c>
      <c r="X30">
        <v>1817.35</v>
      </c>
      <c r="Y30">
        <v>1500</v>
      </c>
      <c r="Z30" s="2">
        <f t="shared" si="6"/>
        <v>317.35</v>
      </c>
      <c r="AA30">
        <v>46</v>
      </c>
      <c r="AB30">
        <v>53.3</v>
      </c>
      <c r="AC30">
        <f t="shared" si="7"/>
        <v>2451.8</v>
      </c>
      <c r="AD30">
        <f t="shared" si="8"/>
        <v>2769.15</v>
      </c>
    </row>
    <row r="31" ht="21" spans="1:30">
      <c r="A31" s="3">
        <v>30</v>
      </c>
      <c r="B31" s="3" t="s">
        <v>47</v>
      </c>
      <c r="C31" s="3"/>
      <c r="D31" s="3"/>
      <c r="E31" s="3">
        <v>56.5</v>
      </c>
      <c r="F31" s="3">
        <v>29</v>
      </c>
      <c r="G31" s="3">
        <f t="shared" si="0"/>
        <v>1638.5</v>
      </c>
      <c r="H31" s="3">
        <v>100</v>
      </c>
      <c r="I31" s="3">
        <v>924.5</v>
      </c>
      <c r="J31" s="3">
        <f t="shared" si="1"/>
        <v>2663</v>
      </c>
      <c r="L31" s="3">
        <v>30</v>
      </c>
      <c r="M31" s="6" t="s">
        <v>47</v>
      </c>
      <c r="N31" s="6">
        <v>66.9</v>
      </c>
      <c r="O31" s="6">
        <v>12</v>
      </c>
      <c r="P31" s="2">
        <f t="shared" si="2"/>
        <v>2663</v>
      </c>
      <c r="Q31" s="4">
        <v>2000</v>
      </c>
      <c r="R31" s="2">
        <f t="shared" si="3"/>
        <v>663</v>
      </c>
      <c r="S31" s="8">
        <f t="shared" si="4"/>
        <v>802.8</v>
      </c>
      <c r="T31" s="2">
        <f t="shared" si="5"/>
        <v>1465.8</v>
      </c>
      <c r="W31" s="6" t="s">
        <v>47</v>
      </c>
      <c r="X31">
        <v>758.2</v>
      </c>
      <c r="Y31">
        <v>700</v>
      </c>
      <c r="Z31" s="2">
        <f t="shared" si="6"/>
        <v>58.2</v>
      </c>
      <c r="AA31">
        <v>37</v>
      </c>
      <c r="AB31">
        <v>53.3</v>
      </c>
      <c r="AC31">
        <f t="shared" si="7"/>
        <v>1972.1</v>
      </c>
      <c r="AD31">
        <f t="shared" si="8"/>
        <v>2030.3</v>
      </c>
    </row>
    <row r="32" ht="21" spans="1:30">
      <c r="A32" s="3">
        <v>31</v>
      </c>
      <c r="B32" s="3" t="s">
        <v>48</v>
      </c>
      <c r="C32" s="3"/>
      <c r="D32" s="3"/>
      <c r="E32" s="3">
        <v>56.5</v>
      </c>
      <c r="F32" s="3">
        <v>49</v>
      </c>
      <c r="G32" s="3">
        <f t="shared" si="0"/>
        <v>2768.5</v>
      </c>
      <c r="H32" s="3">
        <v>100</v>
      </c>
      <c r="I32" s="3">
        <v>1232</v>
      </c>
      <c r="J32" s="3">
        <f t="shared" si="1"/>
        <v>4100.5</v>
      </c>
      <c r="L32" s="3">
        <v>31</v>
      </c>
      <c r="M32" s="6" t="s">
        <v>48</v>
      </c>
      <c r="N32" s="6">
        <v>66.9</v>
      </c>
      <c r="O32" s="6">
        <v>31</v>
      </c>
      <c r="P32" s="2">
        <f t="shared" si="2"/>
        <v>4100.5</v>
      </c>
      <c r="Q32" s="4">
        <v>4000</v>
      </c>
      <c r="R32" s="2">
        <f t="shared" si="3"/>
        <v>100.5</v>
      </c>
      <c r="S32" s="8">
        <f t="shared" si="4"/>
        <v>2073.9</v>
      </c>
      <c r="T32" s="2">
        <f t="shared" si="5"/>
        <v>2174.4</v>
      </c>
      <c r="W32" s="6" t="s">
        <v>48</v>
      </c>
      <c r="X32">
        <v>1450.95</v>
      </c>
      <c r="Y32">
        <v>1000</v>
      </c>
      <c r="Z32" s="2">
        <f t="shared" si="6"/>
        <v>450.95</v>
      </c>
      <c r="AA32">
        <v>45</v>
      </c>
      <c r="AB32">
        <v>53.3</v>
      </c>
      <c r="AC32">
        <f t="shared" si="7"/>
        <v>2398.5</v>
      </c>
      <c r="AD32">
        <f t="shared" si="8"/>
        <v>2849.45</v>
      </c>
    </row>
    <row r="33" ht="21" spans="1:30">
      <c r="A33" s="3">
        <v>32</v>
      </c>
      <c r="B33" s="3" t="s">
        <v>49</v>
      </c>
      <c r="C33" s="3"/>
      <c r="D33" s="3"/>
      <c r="E33" s="3">
        <v>56.5</v>
      </c>
      <c r="F33" s="3">
        <v>24</v>
      </c>
      <c r="G33" s="3">
        <f t="shared" si="0"/>
        <v>1356</v>
      </c>
      <c r="H33" s="3">
        <v>100</v>
      </c>
      <c r="I33" s="3">
        <v>0</v>
      </c>
      <c r="J33" s="3">
        <f t="shared" si="1"/>
        <v>1456</v>
      </c>
      <c r="L33" s="3">
        <v>32</v>
      </c>
      <c r="M33" s="6" t="s">
        <v>49</v>
      </c>
      <c r="N33" s="6">
        <v>66.9</v>
      </c>
      <c r="O33" s="6">
        <v>44</v>
      </c>
      <c r="P33" s="2">
        <f t="shared" si="2"/>
        <v>1456</v>
      </c>
      <c r="Q33" s="4">
        <v>1450</v>
      </c>
      <c r="R33" s="2">
        <f t="shared" si="3"/>
        <v>6</v>
      </c>
      <c r="S33" s="8">
        <f t="shared" si="4"/>
        <v>2943.6</v>
      </c>
      <c r="T33" s="2">
        <f t="shared" si="5"/>
        <v>2949.6</v>
      </c>
      <c r="W33" s="6" t="s">
        <v>49</v>
      </c>
      <c r="X33">
        <v>1502.7</v>
      </c>
      <c r="Y33">
        <v>1500</v>
      </c>
      <c r="Z33" s="2">
        <f t="shared" si="6"/>
        <v>2.70000000000005</v>
      </c>
      <c r="AA33">
        <v>57</v>
      </c>
      <c r="AB33">
        <v>53.3</v>
      </c>
      <c r="AC33">
        <f t="shared" si="7"/>
        <v>3038.1</v>
      </c>
      <c r="AD33">
        <f t="shared" si="8"/>
        <v>3040.8</v>
      </c>
    </row>
    <row r="34" ht="21" spans="1:30">
      <c r="A34" s="3">
        <v>33</v>
      </c>
      <c r="B34" s="3" t="s">
        <v>50</v>
      </c>
      <c r="C34" s="3"/>
      <c r="D34" s="3"/>
      <c r="E34" s="3">
        <v>56.5</v>
      </c>
      <c r="F34" s="3">
        <v>12</v>
      </c>
      <c r="G34" s="3">
        <f t="shared" si="0"/>
        <v>678</v>
      </c>
      <c r="H34" s="3">
        <v>100</v>
      </c>
      <c r="I34" s="3">
        <v>0</v>
      </c>
      <c r="J34" s="3">
        <f t="shared" si="1"/>
        <v>778</v>
      </c>
      <c r="L34" s="3">
        <v>33</v>
      </c>
      <c r="M34" s="6" t="s">
        <v>50</v>
      </c>
      <c r="N34" s="6">
        <v>66.9</v>
      </c>
      <c r="O34" s="6">
        <v>4</v>
      </c>
      <c r="P34" s="2">
        <f t="shared" si="2"/>
        <v>778</v>
      </c>
      <c r="Q34" s="4">
        <v>0</v>
      </c>
      <c r="R34" s="2">
        <f t="shared" si="3"/>
        <v>778</v>
      </c>
      <c r="S34" s="8">
        <f t="shared" si="4"/>
        <v>267.6</v>
      </c>
      <c r="T34" s="2">
        <f t="shared" si="5"/>
        <v>1045.6</v>
      </c>
      <c r="W34" s="6" t="s">
        <v>50</v>
      </c>
      <c r="X34">
        <v>1838.4</v>
      </c>
      <c r="Y34">
        <v>1838</v>
      </c>
      <c r="Z34" s="2">
        <f t="shared" si="6"/>
        <v>0.400000000000091</v>
      </c>
      <c r="AA34">
        <v>47</v>
      </c>
      <c r="AB34">
        <v>53.3</v>
      </c>
      <c r="AC34">
        <f t="shared" si="7"/>
        <v>2505.1</v>
      </c>
      <c r="AD34">
        <f t="shared" si="8"/>
        <v>2505.5</v>
      </c>
    </row>
    <row r="35" ht="21" spans="1:30">
      <c r="A35" s="3">
        <v>34</v>
      </c>
      <c r="B35" s="3" t="s">
        <v>51</v>
      </c>
      <c r="C35" s="3"/>
      <c r="D35" s="3"/>
      <c r="E35" s="3">
        <v>56.5</v>
      </c>
      <c r="F35" s="3">
        <v>17</v>
      </c>
      <c r="G35" s="3">
        <f t="shared" si="0"/>
        <v>960.5</v>
      </c>
      <c r="H35" s="3">
        <v>100</v>
      </c>
      <c r="I35" s="3">
        <v>0</v>
      </c>
      <c r="J35" s="3">
        <f t="shared" si="1"/>
        <v>1060.5</v>
      </c>
      <c r="L35" s="3">
        <v>34</v>
      </c>
      <c r="M35" s="6" t="s">
        <v>51</v>
      </c>
      <c r="N35" s="6">
        <v>66.9</v>
      </c>
      <c r="O35" s="6">
        <v>22</v>
      </c>
      <c r="P35" s="2">
        <v>400</v>
      </c>
      <c r="Q35" s="4">
        <v>0</v>
      </c>
      <c r="R35" s="2">
        <f t="shared" ref="R35:R66" si="9">P35-Q35</f>
        <v>400</v>
      </c>
      <c r="S35" s="8">
        <f t="shared" ref="S35:S66" si="10">N35*O35</f>
        <v>1471.8</v>
      </c>
      <c r="T35" s="2">
        <f t="shared" ref="T35:T66" si="11">R35+S35</f>
        <v>1871.8</v>
      </c>
      <c r="W35" s="6" t="s">
        <v>51</v>
      </c>
      <c r="X35">
        <v>1879.5</v>
      </c>
      <c r="Y35">
        <v>1800</v>
      </c>
      <c r="Z35" s="2">
        <f t="shared" ref="Z35:Z66" si="12">X35-Y35</f>
        <v>79.5</v>
      </c>
      <c r="AA35">
        <v>30</v>
      </c>
      <c r="AB35">
        <v>53.3</v>
      </c>
      <c r="AC35">
        <f t="shared" ref="AC35:AC66" si="13">AA35*AB35</f>
        <v>1599</v>
      </c>
      <c r="AD35">
        <f t="shared" ref="AD35:AD66" si="14">AC35+Z35</f>
        <v>1678.5</v>
      </c>
    </row>
    <row r="36" ht="21" spans="1:30">
      <c r="A36" s="3">
        <v>35</v>
      </c>
      <c r="B36" s="3" t="s">
        <v>52</v>
      </c>
      <c r="C36" s="3"/>
      <c r="D36" s="3"/>
      <c r="E36" s="3">
        <v>56.5</v>
      </c>
      <c r="F36" s="3">
        <v>32</v>
      </c>
      <c r="G36" s="3">
        <f t="shared" si="0"/>
        <v>1808</v>
      </c>
      <c r="H36" s="3">
        <v>100</v>
      </c>
      <c r="I36" s="3">
        <v>0</v>
      </c>
      <c r="J36" s="3">
        <f t="shared" si="1"/>
        <v>1908</v>
      </c>
      <c r="L36" s="3">
        <v>35</v>
      </c>
      <c r="M36" s="6" t="s">
        <v>52</v>
      </c>
      <c r="N36" s="6">
        <v>66.9</v>
      </c>
      <c r="O36" s="6">
        <v>19</v>
      </c>
      <c r="P36" s="2">
        <f t="shared" ref="P35:P66" si="15">J36</f>
        <v>1908</v>
      </c>
      <c r="Q36" s="4">
        <v>1910</v>
      </c>
      <c r="R36" s="2">
        <f t="shared" si="9"/>
        <v>-2</v>
      </c>
      <c r="S36" s="8">
        <f t="shared" si="10"/>
        <v>1271.1</v>
      </c>
      <c r="T36" s="2">
        <f t="shared" si="11"/>
        <v>1269.1</v>
      </c>
      <c r="W36" s="6" t="s">
        <v>52</v>
      </c>
      <c r="X36">
        <v>1506.75</v>
      </c>
      <c r="Y36">
        <v>1500</v>
      </c>
      <c r="Z36" s="2">
        <f t="shared" si="12"/>
        <v>6.75</v>
      </c>
      <c r="AA36">
        <v>25</v>
      </c>
      <c r="AB36">
        <v>53.3</v>
      </c>
      <c r="AC36">
        <f t="shared" si="13"/>
        <v>1332.5</v>
      </c>
      <c r="AD36">
        <f t="shared" si="14"/>
        <v>1339.25</v>
      </c>
    </row>
    <row r="37" ht="21" spans="1:30">
      <c r="A37" s="3">
        <v>36</v>
      </c>
      <c r="B37" s="3" t="s">
        <v>53</v>
      </c>
      <c r="C37" s="3"/>
      <c r="D37" s="3"/>
      <c r="E37" s="3">
        <v>56.5</v>
      </c>
      <c r="F37" s="3">
        <v>31</v>
      </c>
      <c r="G37" s="3">
        <f t="shared" si="0"/>
        <v>1751.5</v>
      </c>
      <c r="H37" s="3">
        <v>100</v>
      </c>
      <c r="I37" s="3">
        <v>0</v>
      </c>
      <c r="J37" s="3">
        <f t="shared" si="1"/>
        <v>1851.5</v>
      </c>
      <c r="L37" s="3">
        <v>36</v>
      </c>
      <c r="M37" s="6" t="s">
        <v>53</v>
      </c>
      <c r="N37" s="6">
        <v>66.9</v>
      </c>
      <c r="O37" s="6">
        <v>24</v>
      </c>
      <c r="P37" s="2">
        <f t="shared" si="15"/>
        <v>1851.5</v>
      </c>
      <c r="Q37" s="4">
        <v>1000</v>
      </c>
      <c r="R37" s="2">
        <f t="shared" si="9"/>
        <v>851.5</v>
      </c>
      <c r="S37" s="8">
        <f t="shared" si="10"/>
        <v>1605.6</v>
      </c>
      <c r="T37" s="2">
        <f t="shared" si="11"/>
        <v>2457.1</v>
      </c>
      <c r="W37" s="6" t="s">
        <v>53</v>
      </c>
      <c r="X37">
        <v>2694.5</v>
      </c>
      <c r="Y37">
        <v>4000</v>
      </c>
      <c r="Z37" s="2">
        <f t="shared" si="12"/>
        <v>-1305.5</v>
      </c>
      <c r="AA37">
        <v>20</v>
      </c>
      <c r="AB37">
        <v>53.3</v>
      </c>
      <c r="AC37">
        <f t="shared" si="13"/>
        <v>1066</v>
      </c>
      <c r="AD37">
        <f t="shared" si="14"/>
        <v>-239.5</v>
      </c>
    </row>
    <row r="38" ht="21" spans="1:30">
      <c r="A38" s="3">
        <v>37</v>
      </c>
      <c r="B38" s="3" t="s">
        <v>54</v>
      </c>
      <c r="C38" s="3"/>
      <c r="D38" s="3"/>
      <c r="E38" s="3">
        <v>56.5</v>
      </c>
      <c r="F38" s="3">
        <v>24</v>
      </c>
      <c r="G38" s="3">
        <f t="shared" si="0"/>
        <v>1356</v>
      </c>
      <c r="H38" s="3">
        <v>100</v>
      </c>
      <c r="I38" s="3">
        <v>0</v>
      </c>
      <c r="J38" s="3">
        <f t="shared" si="1"/>
        <v>1456</v>
      </c>
      <c r="L38" s="3">
        <v>37</v>
      </c>
      <c r="M38" s="6" t="s">
        <v>54</v>
      </c>
      <c r="N38" s="6">
        <v>66.9</v>
      </c>
      <c r="O38" s="6">
        <v>22</v>
      </c>
      <c r="P38" s="2">
        <f t="shared" si="15"/>
        <v>1456</v>
      </c>
      <c r="Q38" s="4">
        <v>1500</v>
      </c>
      <c r="R38" s="2">
        <f t="shared" si="9"/>
        <v>-44</v>
      </c>
      <c r="S38" s="8">
        <f t="shared" si="10"/>
        <v>1471.8</v>
      </c>
      <c r="T38" s="2">
        <f t="shared" si="11"/>
        <v>1427.8</v>
      </c>
      <c r="W38" s="6" t="s">
        <v>54</v>
      </c>
      <c r="X38">
        <v>858.3</v>
      </c>
      <c r="Y38">
        <v>1000</v>
      </c>
      <c r="Z38" s="2">
        <f t="shared" si="12"/>
        <v>-141.7</v>
      </c>
      <c r="AA38">
        <v>6</v>
      </c>
      <c r="AB38">
        <v>53.3</v>
      </c>
      <c r="AC38">
        <f t="shared" si="13"/>
        <v>319.8</v>
      </c>
      <c r="AD38">
        <f t="shared" si="14"/>
        <v>178.1</v>
      </c>
    </row>
    <row r="39" ht="21" spans="1:30">
      <c r="A39" s="3">
        <v>38</v>
      </c>
      <c r="B39" s="3" t="s">
        <v>55</v>
      </c>
      <c r="C39" s="3"/>
      <c r="D39" s="3"/>
      <c r="E39" s="3">
        <v>56.5</v>
      </c>
      <c r="F39" s="3">
        <v>24</v>
      </c>
      <c r="G39" s="3">
        <f t="shared" si="0"/>
        <v>1356</v>
      </c>
      <c r="H39" s="3">
        <v>100</v>
      </c>
      <c r="I39" s="3">
        <v>0</v>
      </c>
      <c r="J39" s="3">
        <f t="shared" si="1"/>
        <v>1456</v>
      </c>
      <c r="L39" s="3">
        <v>38</v>
      </c>
      <c r="M39" s="6" t="s">
        <v>55</v>
      </c>
      <c r="N39" s="6">
        <v>66.9</v>
      </c>
      <c r="O39" s="6">
        <v>32</v>
      </c>
      <c r="P39" s="2">
        <f t="shared" si="15"/>
        <v>1456</v>
      </c>
      <c r="Q39" s="4">
        <v>2000</v>
      </c>
      <c r="R39" s="2">
        <f t="shared" si="9"/>
        <v>-544</v>
      </c>
      <c r="S39" s="8">
        <f t="shared" si="10"/>
        <v>2140.8</v>
      </c>
      <c r="T39" s="2">
        <f t="shared" si="11"/>
        <v>1596.8</v>
      </c>
      <c r="W39" s="6" t="s">
        <v>55</v>
      </c>
      <c r="X39">
        <v>1650.5</v>
      </c>
      <c r="Y39">
        <v>1500</v>
      </c>
      <c r="Z39" s="2">
        <f t="shared" si="12"/>
        <v>150.5</v>
      </c>
      <c r="AA39">
        <v>35</v>
      </c>
      <c r="AB39">
        <v>53.3</v>
      </c>
      <c r="AC39">
        <f t="shared" si="13"/>
        <v>1865.5</v>
      </c>
      <c r="AD39">
        <f t="shared" si="14"/>
        <v>2016</v>
      </c>
    </row>
    <row r="40" ht="21" spans="1:30">
      <c r="A40" s="3">
        <v>39</v>
      </c>
      <c r="B40" s="3" t="s">
        <v>56</v>
      </c>
      <c r="C40" s="3"/>
      <c r="D40" s="3"/>
      <c r="E40" s="3">
        <v>56.5</v>
      </c>
      <c r="F40" s="3">
        <v>33</v>
      </c>
      <c r="G40" s="3">
        <f t="shared" si="0"/>
        <v>1864.5</v>
      </c>
      <c r="H40" s="3">
        <v>400</v>
      </c>
      <c r="I40" s="3">
        <v>0</v>
      </c>
      <c r="J40" s="3">
        <f t="shared" si="1"/>
        <v>2264.5</v>
      </c>
      <c r="L40" s="3">
        <v>39</v>
      </c>
      <c r="M40" s="6" t="s">
        <v>56</v>
      </c>
      <c r="N40" s="6">
        <v>66.9</v>
      </c>
      <c r="O40" s="6">
        <v>19</v>
      </c>
      <c r="P40" s="2">
        <f t="shared" si="15"/>
        <v>2264.5</v>
      </c>
      <c r="Q40" s="4">
        <v>2200</v>
      </c>
      <c r="R40" s="2">
        <f t="shared" si="9"/>
        <v>64.5</v>
      </c>
      <c r="S40" s="8">
        <f t="shared" si="10"/>
        <v>1271.1</v>
      </c>
      <c r="T40" s="2">
        <f t="shared" si="11"/>
        <v>1335.6</v>
      </c>
      <c r="W40" s="6" t="s">
        <v>56</v>
      </c>
      <c r="X40">
        <v>2335.55</v>
      </c>
      <c r="Y40">
        <v>2000</v>
      </c>
      <c r="Z40" s="2">
        <f t="shared" si="12"/>
        <v>335.55</v>
      </c>
      <c r="AA40">
        <v>39</v>
      </c>
      <c r="AB40">
        <v>53.3</v>
      </c>
      <c r="AC40">
        <f t="shared" si="13"/>
        <v>2078.7</v>
      </c>
      <c r="AD40">
        <f t="shared" si="14"/>
        <v>2414.25</v>
      </c>
    </row>
    <row r="41" ht="21" spans="1:30">
      <c r="A41" s="3">
        <v>40</v>
      </c>
      <c r="B41" s="3" t="s">
        <v>57</v>
      </c>
      <c r="C41" s="3"/>
      <c r="D41" s="3"/>
      <c r="E41" s="3">
        <v>56.5</v>
      </c>
      <c r="F41" s="3">
        <v>32</v>
      </c>
      <c r="G41" s="3">
        <f t="shared" si="0"/>
        <v>1808</v>
      </c>
      <c r="H41" s="3">
        <v>100</v>
      </c>
      <c r="I41" s="3">
        <v>0</v>
      </c>
      <c r="J41" s="3">
        <f t="shared" si="1"/>
        <v>1908</v>
      </c>
      <c r="L41" s="3">
        <v>40</v>
      </c>
      <c r="M41" s="6" t="s">
        <v>57</v>
      </c>
      <c r="N41" s="6">
        <v>66.9</v>
      </c>
      <c r="O41" s="6">
        <v>36</v>
      </c>
      <c r="P41" s="2">
        <f t="shared" si="15"/>
        <v>1908</v>
      </c>
      <c r="Q41" s="4">
        <v>0</v>
      </c>
      <c r="R41" s="2">
        <f t="shared" si="9"/>
        <v>1908</v>
      </c>
      <c r="S41" s="8">
        <f t="shared" si="10"/>
        <v>2408.4</v>
      </c>
      <c r="T41" s="2">
        <f t="shared" si="11"/>
        <v>4316.4</v>
      </c>
      <c r="W41" s="6" t="s">
        <v>57</v>
      </c>
      <c r="X41">
        <v>2781.3</v>
      </c>
      <c r="Y41">
        <v>980</v>
      </c>
      <c r="Z41" s="2">
        <f t="shared" si="12"/>
        <v>1801.3</v>
      </c>
      <c r="AA41">
        <v>28</v>
      </c>
      <c r="AB41">
        <v>53.3</v>
      </c>
      <c r="AC41">
        <f t="shared" si="13"/>
        <v>1492.4</v>
      </c>
      <c r="AD41">
        <f t="shared" si="14"/>
        <v>3293.7</v>
      </c>
    </row>
    <row r="42" ht="21" spans="1:30">
      <c r="A42" s="3">
        <v>41</v>
      </c>
      <c r="B42" s="3" t="s">
        <v>58</v>
      </c>
      <c r="C42" s="3"/>
      <c r="D42" s="3"/>
      <c r="E42" s="3">
        <v>56.5</v>
      </c>
      <c r="F42" s="3">
        <v>36</v>
      </c>
      <c r="G42" s="3">
        <f t="shared" si="0"/>
        <v>2034</v>
      </c>
      <c r="H42" s="3">
        <v>100</v>
      </c>
      <c r="I42" s="3">
        <v>1120</v>
      </c>
      <c r="J42" s="3">
        <f t="shared" si="1"/>
        <v>3254</v>
      </c>
      <c r="L42" s="3">
        <v>41</v>
      </c>
      <c r="M42" s="6" t="s">
        <v>58</v>
      </c>
      <c r="N42" s="6">
        <v>66.9</v>
      </c>
      <c r="O42" s="6">
        <v>0</v>
      </c>
      <c r="P42" s="2">
        <f t="shared" si="15"/>
        <v>3254</v>
      </c>
      <c r="Q42" s="4">
        <v>0</v>
      </c>
      <c r="R42" s="2">
        <f t="shared" si="9"/>
        <v>3254</v>
      </c>
      <c r="S42" s="8">
        <f t="shared" si="10"/>
        <v>0</v>
      </c>
      <c r="T42" s="2">
        <f t="shared" si="11"/>
        <v>3254</v>
      </c>
      <c r="W42" s="6" t="s">
        <v>58</v>
      </c>
      <c r="X42">
        <v>3354</v>
      </c>
      <c r="Y42">
        <v>2000</v>
      </c>
      <c r="Z42" s="2">
        <f t="shared" si="12"/>
        <v>1354</v>
      </c>
      <c r="AA42">
        <v>38</v>
      </c>
      <c r="AB42">
        <v>53.3</v>
      </c>
      <c r="AC42">
        <f t="shared" si="13"/>
        <v>2025.4</v>
      </c>
      <c r="AD42">
        <f t="shared" si="14"/>
        <v>3379.4</v>
      </c>
    </row>
    <row r="43" ht="21" spans="1:30">
      <c r="A43" s="3">
        <v>42</v>
      </c>
      <c r="B43" s="3" t="s">
        <v>59</v>
      </c>
      <c r="C43" s="3"/>
      <c r="D43" s="3"/>
      <c r="E43" s="3">
        <v>56.5</v>
      </c>
      <c r="F43" s="3">
        <v>41</v>
      </c>
      <c r="G43" s="3">
        <f t="shared" si="0"/>
        <v>2316.5</v>
      </c>
      <c r="H43" s="3">
        <v>100</v>
      </c>
      <c r="I43" s="3">
        <v>0</v>
      </c>
      <c r="J43" s="3">
        <f t="shared" si="1"/>
        <v>2416.5</v>
      </c>
      <c r="L43" s="3">
        <v>42</v>
      </c>
      <c r="M43" s="6" t="s">
        <v>59</v>
      </c>
      <c r="N43" s="6">
        <v>66.9</v>
      </c>
      <c r="O43" s="6">
        <v>4</v>
      </c>
      <c r="P43" s="2">
        <f t="shared" si="15"/>
        <v>2416.5</v>
      </c>
      <c r="Q43" s="4">
        <v>1500</v>
      </c>
      <c r="R43" s="2">
        <f t="shared" si="9"/>
        <v>916.5</v>
      </c>
      <c r="S43" s="8">
        <f t="shared" si="10"/>
        <v>267.6</v>
      </c>
      <c r="T43" s="2">
        <f t="shared" si="11"/>
        <v>1184.1</v>
      </c>
      <c r="W43" s="6" t="s">
        <v>59</v>
      </c>
      <c r="X43">
        <v>1283.9</v>
      </c>
      <c r="Y43">
        <v>1200</v>
      </c>
      <c r="Z43" s="2">
        <f t="shared" si="12"/>
        <v>83.9000000000001</v>
      </c>
      <c r="AA43">
        <v>30</v>
      </c>
      <c r="AB43">
        <v>53.3</v>
      </c>
      <c r="AC43">
        <f t="shared" si="13"/>
        <v>1599</v>
      </c>
      <c r="AD43">
        <f t="shared" si="14"/>
        <v>1682.9</v>
      </c>
    </row>
    <row r="44" ht="21" spans="1:30">
      <c r="A44" s="3">
        <v>43</v>
      </c>
      <c r="B44" s="3" t="s">
        <v>60</v>
      </c>
      <c r="C44" s="3"/>
      <c r="D44" s="3"/>
      <c r="E44" s="3">
        <v>56.5</v>
      </c>
      <c r="F44" s="3">
        <v>37</v>
      </c>
      <c r="G44" s="3">
        <f t="shared" si="0"/>
        <v>2090.5</v>
      </c>
      <c r="H44" s="3">
        <v>100</v>
      </c>
      <c r="I44" s="3">
        <v>0</v>
      </c>
      <c r="J44" s="3">
        <f t="shared" si="1"/>
        <v>2190.5</v>
      </c>
      <c r="L44" s="3">
        <v>43</v>
      </c>
      <c r="M44" s="6" t="s">
        <v>60</v>
      </c>
      <c r="N44" s="6">
        <v>66.9</v>
      </c>
      <c r="O44" s="6">
        <v>3</v>
      </c>
      <c r="P44" s="2">
        <f t="shared" si="15"/>
        <v>2190.5</v>
      </c>
      <c r="Q44" s="4">
        <v>2000</v>
      </c>
      <c r="R44" s="2">
        <f t="shared" si="9"/>
        <v>190.5</v>
      </c>
      <c r="S44" s="8">
        <f t="shared" si="10"/>
        <v>200.7</v>
      </c>
      <c r="T44" s="2">
        <f t="shared" si="11"/>
        <v>391.2</v>
      </c>
      <c r="W44" s="6" t="s">
        <v>60</v>
      </c>
      <c r="X44">
        <v>491.05</v>
      </c>
      <c r="Z44" s="2">
        <f t="shared" si="12"/>
        <v>491.05</v>
      </c>
      <c r="AA44">
        <v>0</v>
      </c>
      <c r="AB44">
        <v>53.3</v>
      </c>
      <c r="AC44">
        <f t="shared" si="13"/>
        <v>0</v>
      </c>
      <c r="AD44">
        <f t="shared" si="14"/>
        <v>491.05</v>
      </c>
    </row>
    <row r="45" ht="21" spans="1:30">
      <c r="A45" s="3">
        <v>44</v>
      </c>
      <c r="B45" s="3" t="s">
        <v>61</v>
      </c>
      <c r="C45" s="3"/>
      <c r="D45" s="3"/>
      <c r="E45" s="3">
        <v>56.5</v>
      </c>
      <c r="F45" s="3">
        <v>40</v>
      </c>
      <c r="G45" s="3">
        <f t="shared" si="0"/>
        <v>2260</v>
      </c>
      <c r="H45" s="3">
        <v>100</v>
      </c>
      <c r="I45" s="3">
        <v>0</v>
      </c>
      <c r="J45" s="3">
        <f t="shared" si="1"/>
        <v>2360</v>
      </c>
      <c r="L45" s="3">
        <v>44</v>
      </c>
      <c r="M45" s="6" t="s">
        <v>61</v>
      </c>
      <c r="N45" s="6">
        <v>66.9</v>
      </c>
      <c r="O45" s="6">
        <v>0</v>
      </c>
      <c r="P45" s="2">
        <f t="shared" si="15"/>
        <v>2360</v>
      </c>
      <c r="Q45" s="4">
        <v>0</v>
      </c>
      <c r="R45" s="2">
        <f t="shared" si="9"/>
        <v>2360</v>
      </c>
      <c r="S45" s="8">
        <f t="shared" si="10"/>
        <v>0</v>
      </c>
      <c r="T45" s="2">
        <f t="shared" si="11"/>
        <v>2360</v>
      </c>
      <c r="W45" s="6" t="s">
        <v>61</v>
      </c>
      <c r="X45">
        <v>2737.2</v>
      </c>
      <c r="Y45">
        <v>2500</v>
      </c>
      <c r="Z45" s="2">
        <f t="shared" si="12"/>
        <v>237.2</v>
      </c>
      <c r="AA45">
        <v>52</v>
      </c>
      <c r="AB45">
        <v>53.3</v>
      </c>
      <c r="AC45">
        <f t="shared" si="13"/>
        <v>2771.6</v>
      </c>
      <c r="AD45">
        <f t="shared" si="14"/>
        <v>3008.8</v>
      </c>
    </row>
    <row r="46" ht="21" spans="1:30">
      <c r="A46" s="3">
        <v>45</v>
      </c>
      <c r="B46" s="3" t="s">
        <v>62</v>
      </c>
      <c r="C46" s="3"/>
      <c r="D46" s="3"/>
      <c r="E46" s="3">
        <v>56.5</v>
      </c>
      <c r="F46" s="3">
        <v>28</v>
      </c>
      <c r="G46" s="3">
        <f t="shared" si="0"/>
        <v>1582</v>
      </c>
      <c r="H46" s="3">
        <v>100</v>
      </c>
      <c r="I46" s="3">
        <v>0</v>
      </c>
      <c r="J46" s="3">
        <f t="shared" si="1"/>
        <v>1682</v>
      </c>
      <c r="L46" s="3">
        <v>45</v>
      </c>
      <c r="M46" s="6" t="s">
        <v>62</v>
      </c>
      <c r="N46" s="6">
        <v>66.9</v>
      </c>
      <c r="O46" s="6">
        <v>22</v>
      </c>
      <c r="P46" s="2">
        <f t="shared" si="15"/>
        <v>1682</v>
      </c>
      <c r="Q46" s="4">
        <v>1400</v>
      </c>
      <c r="R46" s="2">
        <f t="shared" si="9"/>
        <v>282</v>
      </c>
      <c r="S46" s="8">
        <f t="shared" si="10"/>
        <v>1471.8</v>
      </c>
      <c r="T46" s="2">
        <f t="shared" si="11"/>
        <v>1753.8</v>
      </c>
      <c r="W46" s="6" t="s">
        <v>62</v>
      </c>
      <c r="X46">
        <v>2476.4</v>
      </c>
      <c r="Y46">
        <v>2500</v>
      </c>
      <c r="Z46" s="2">
        <f t="shared" si="12"/>
        <v>-23.5999999999999</v>
      </c>
      <c r="AA46">
        <v>31</v>
      </c>
      <c r="AB46">
        <v>53.3</v>
      </c>
      <c r="AC46">
        <f t="shared" si="13"/>
        <v>1652.3</v>
      </c>
      <c r="AD46">
        <f t="shared" si="14"/>
        <v>1628.7</v>
      </c>
    </row>
    <row r="47" ht="21" spans="1:30">
      <c r="A47" s="3">
        <v>46</v>
      </c>
      <c r="B47" s="3" t="s">
        <v>63</v>
      </c>
      <c r="C47" s="3"/>
      <c r="D47" s="3"/>
      <c r="E47" s="3">
        <v>56.5</v>
      </c>
      <c r="F47" s="3">
        <v>45</v>
      </c>
      <c r="G47" s="3">
        <f t="shared" si="0"/>
        <v>2542.5</v>
      </c>
      <c r="H47" s="3">
        <v>100</v>
      </c>
      <c r="I47" s="3">
        <v>0</v>
      </c>
      <c r="J47" s="3">
        <f t="shared" si="1"/>
        <v>2642.5</v>
      </c>
      <c r="L47" s="3">
        <v>46</v>
      </c>
      <c r="M47" s="6" t="s">
        <v>63</v>
      </c>
      <c r="N47" s="6">
        <v>66.9</v>
      </c>
      <c r="O47" s="6">
        <v>54</v>
      </c>
      <c r="P47" s="2">
        <f t="shared" si="15"/>
        <v>2642.5</v>
      </c>
      <c r="Q47" s="4">
        <v>2000</v>
      </c>
      <c r="R47" s="2">
        <f t="shared" si="9"/>
        <v>642.5</v>
      </c>
      <c r="S47" s="8">
        <f t="shared" si="10"/>
        <v>3612.6</v>
      </c>
      <c r="T47" s="2">
        <f t="shared" si="11"/>
        <v>4255.1</v>
      </c>
      <c r="W47" s="6" t="s">
        <v>63</v>
      </c>
      <c r="X47">
        <v>5599.8</v>
      </c>
      <c r="Y47">
        <v>2500</v>
      </c>
      <c r="Z47" s="2">
        <f t="shared" si="12"/>
        <v>3099.8</v>
      </c>
      <c r="AA47">
        <v>45</v>
      </c>
      <c r="AB47">
        <v>53.3</v>
      </c>
      <c r="AC47">
        <f t="shared" si="13"/>
        <v>2398.5</v>
      </c>
      <c r="AD47">
        <f t="shared" si="14"/>
        <v>5498.3</v>
      </c>
    </row>
    <row r="48" ht="21" spans="1:30">
      <c r="A48" s="3">
        <v>47</v>
      </c>
      <c r="B48" s="3" t="s">
        <v>64</v>
      </c>
      <c r="C48" s="3"/>
      <c r="D48" s="3"/>
      <c r="E48" s="3">
        <v>56.5</v>
      </c>
      <c r="F48" s="3">
        <v>22</v>
      </c>
      <c r="G48" s="3">
        <f t="shared" si="0"/>
        <v>1243</v>
      </c>
      <c r="H48" s="3">
        <v>100</v>
      </c>
      <c r="I48" s="3">
        <v>0</v>
      </c>
      <c r="J48" s="3">
        <f t="shared" si="1"/>
        <v>1343</v>
      </c>
      <c r="L48" s="3">
        <v>47</v>
      </c>
      <c r="M48" s="6" t="s">
        <v>64</v>
      </c>
      <c r="N48" s="6">
        <v>66.9</v>
      </c>
      <c r="O48" s="6">
        <v>8</v>
      </c>
      <c r="P48" s="2">
        <f t="shared" si="15"/>
        <v>1343</v>
      </c>
      <c r="Q48" s="4">
        <v>1500</v>
      </c>
      <c r="R48" s="2">
        <f t="shared" si="9"/>
        <v>-157</v>
      </c>
      <c r="S48" s="8">
        <f t="shared" si="10"/>
        <v>535.2</v>
      </c>
      <c r="T48" s="2">
        <f t="shared" si="11"/>
        <v>378.2</v>
      </c>
      <c r="W48" s="6" t="s">
        <v>64</v>
      </c>
      <c r="X48">
        <v>893.6</v>
      </c>
      <c r="Y48">
        <v>1000</v>
      </c>
      <c r="Z48" s="2">
        <f t="shared" si="12"/>
        <v>-106.4</v>
      </c>
      <c r="AA48">
        <v>44</v>
      </c>
      <c r="AB48">
        <v>53.3</v>
      </c>
      <c r="AC48">
        <f t="shared" si="13"/>
        <v>2345.2</v>
      </c>
      <c r="AD48">
        <f t="shared" si="14"/>
        <v>2238.8</v>
      </c>
    </row>
    <row r="49" ht="21" spans="1:30">
      <c r="A49" s="3">
        <v>48</v>
      </c>
      <c r="B49" s="3" t="s">
        <v>65</v>
      </c>
      <c r="C49" s="3"/>
      <c r="D49" s="3"/>
      <c r="E49" s="3">
        <v>56.5</v>
      </c>
      <c r="F49" s="3">
        <v>35</v>
      </c>
      <c r="G49" s="3">
        <f t="shared" si="0"/>
        <v>1977.5</v>
      </c>
      <c r="H49" s="3">
        <v>100</v>
      </c>
      <c r="I49" s="3">
        <v>0</v>
      </c>
      <c r="J49" s="3">
        <f t="shared" si="1"/>
        <v>2077.5</v>
      </c>
      <c r="L49" s="3">
        <v>48</v>
      </c>
      <c r="M49" s="6" t="s">
        <v>65</v>
      </c>
      <c r="N49" s="6">
        <v>66.9</v>
      </c>
      <c r="O49" s="6">
        <v>50</v>
      </c>
      <c r="P49" s="2">
        <f t="shared" si="15"/>
        <v>2077.5</v>
      </c>
      <c r="Q49" s="4">
        <v>2000</v>
      </c>
      <c r="R49" s="2">
        <f t="shared" si="9"/>
        <v>77.5</v>
      </c>
      <c r="S49" s="8">
        <f t="shared" si="10"/>
        <v>3345</v>
      </c>
      <c r="T49" s="2">
        <f t="shared" si="11"/>
        <v>3422.5</v>
      </c>
      <c r="W49" s="6" t="s">
        <v>65</v>
      </c>
      <c r="X49">
        <v>3183.2</v>
      </c>
      <c r="Y49">
        <v>2700</v>
      </c>
      <c r="Z49" s="2">
        <f t="shared" si="12"/>
        <v>483.2</v>
      </c>
      <c r="AA49">
        <v>54</v>
      </c>
      <c r="AB49">
        <v>53.3</v>
      </c>
      <c r="AC49">
        <f t="shared" si="13"/>
        <v>2878.2</v>
      </c>
      <c r="AD49">
        <f t="shared" si="14"/>
        <v>3361.4</v>
      </c>
    </row>
    <row r="50" ht="21" spans="1:30">
      <c r="A50" s="3">
        <v>49</v>
      </c>
      <c r="B50" s="3" t="s">
        <v>66</v>
      </c>
      <c r="C50" s="3"/>
      <c r="D50" s="3"/>
      <c r="E50" s="3">
        <v>56.5</v>
      </c>
      <c r="F50" s="3">
        <v>34</v>
      </c>
      <c r="G50" s="3">
        <f t="shared" si="0"/>
        <v>1921</v>
      </c>
      <c r="H50" s="3">
        <v>100</v>
      </c>
      <c r="I50" s="3">
        <v>0</v>
      </c>
      <c r="J50" s="3">
        <f t="shared" si="1"/>
        <v>2021</v>
      </c>
      <c r="L50" s="3">
        <v>49</v>
      </c>
      <c r="M50" s="6" t="s">
        <v>66</v>
      </c>
      <c r="N50" s="6">
        <v>66.9</v>
      </c>
      <c r="O50" s="6">
        <v>35</v>
      </c>
      <c r="P50" s="2">
        <f t="shared" si="15"/>
        <v>2021</v>
      </c>
      <c r="Q50" s="4">
        <v>2000</v>
      </c>
      <c r="R50" s="2">
        <f t="shared" si="9"/>
        <v>21</v>
      </c>
      <c r="S50" s="8">
        <f t="shared" si="10"/>
        <v>2341.5</v>
      </c>
      <c r="T50" s="2">
        <f t="shared" si="11"/>
        <v>2362.5</v>
      </c>
      <c r="W50" s="6" t="s">
        <v>66</v>
      </c>
      <c r="X50">
        <v>3223.05</v>
      </c>
      <c r="Y50">
        <v>3000</v>
      </c>
      <c r="Z50" s="2">
        <f t="shared" si="12"/>
        <v>223.05</v>
      </c>
      <c r="AA50">
        <v>53</v>
      </c>
      <c r="AB50">
        <v>53.3</v>
      </c>
      <c r="AC50">
        <f t="shared" si="13"/>
        <v>2824.9</v>
      </c>
      <c r="AD50">
        <f t="shared" si="14"/>
        <v>3047.95</v>
      </c>
    </row>
    <row r="51" ht="21" spans="1:30">
      <c r="A51" s="3">
        <v>50</v>
      </c>
      <c r="B51" s="3" t="s">
        <v>67</v>
      </c>
      <c r="C51" s="3"/>
      <c r="D51" s="3"/>
      <c r="E51" s="3">
        <v>56.5</v>
      </c>
      <c r="F51" s="3">
        <v>21</v>
      </c>
      <c r="G51" s="3">
        <f t="shared" si="0"/>
        <v>1186.5</v>
      </c>
      <c r="H51" s="3">
        <v>100</v>
      </c>
      <c r="I51" s="3">
        <v>0</v>
      </c>
      <c r="J51" s="3">
        <f t="shared" si="1"/>
        <v>1286.5</v>
      </c>
      <c r="L51" s="3">
        <v>50</v>
      </c>
      <c r="M51" s="6" t="s">
        <v>67</v>
      </c>
      <c r="N51" s="6">
        <v>66.9</v>
      </c>
      <c r="O51" s="6">
        <v>19</v>
      </c>
      <c r="P51" s="2">
        <f t="shared" si="15"/>
        <v>1286.5</v>
      </c>
      <c r="Q51" s="4">
        <v>1000</v>
      </c>
      <c r="R51" s="2">
        <f t="shared" si="9"/>
        <v>286.5</v>
      </c>
      <c r="S51" s="8">
        <f t="shared" si="10"/>
        <v>1271.1</v>
      </c>
      <c r="T51" s="2">
        <f t="shared" si="11"/>
        <v>1557.6</v>
      </c>
      <c r="W51" s="6" t="s">
        <v>67</v>
      </c>
      <c r="X51">
        <v>1141.75</v>
      </c>
      <c r="Y51">
        <v>1000</v>
      </c>
      <c r="Z51" s="2">
        <f t="shared" si="12"/>
        <v>141.75</v>
      </c>
      <c r="AA51">
        <v>32</v>
      </c>
      <c r="AB51">
        <v>53.3</v>
      </c>
      <c r="AC51">
        <f t="shared" si="13"/>
        <v>1705.6</v>
      </c>
      <c r="AD51">
        <f t="shared" si="14"/>
        <v>1847.35</v>
      </c>
    </row>
    <row r="52" ht="21" spans="1:30">
      <c r="A52" s="3">
        <v>51</v>
      </c>
      <c r="B52" s="3" t="s">
        <v>68</v>
      </c>
      <c r="C52" s="3"/>
      <c r="D52" s="3"/>
      <c r="E52" s="3">
        <v>56.5</v>
      </c>
      <c r="F52" s="3">
        <v>17</v>
      </c>
      <c r="G52" s="3">
        <f t="shared" si="0"/>
        <v>960.5</v>
      </c>
      <c r="H52" s="3">
        <v>100</v>
      </c>
      <c r="I52" s="3">
        <v>0</v>
      </c>
      <c r="J52" s="3">
        <f t="shared" si="1"/>
        <v>1060.5</v>
      </c>
      <c r="L52" s="3">
        <v>51</v>
      </c>
      <c r="M52" s="6" t="s">
        <v>68</v>
      </c>
      <c r="N52" s="6">
        <v>66.9</v>
      </c>
      <c r="O52" s="6">
        <v>10</v>
      </c>
      <c r="P52" s="2">
        <v>156.5</v>
      </c>
      <c r="Q52" s="4">
        <v>0</v>
      </c>
      <c r="R52" s="2">
        <f t="shared" si="9"/>
        <v>156.5</v>
      </c>
      <c r="S52" s="8">
        <f t="shared" si="10"/>
        <v>669</v>
      </c>
      <c r="T52" s="2">
        <f t="shared" si="11"/>
        <v>825.5</v>
      </c>
      <c r="W52" s="6" t="s">
        <v>68</v>
      </c>
      <c r="X52">
        <v>1063.6</v>
      </c>
      <c r="Y52">
        <v>1000</v>
      </c>
      <c r="Z52" s="2">
        <f t="shared" si="12"/>
        <v>63.5999999999999</v>
      </c>
      <c r="AA52">
        <v>13</v>
      </c>
      <c r="AB52">
        <v>53.3</v>
      </c>
      <c r="AC52">
        <f t="shared" si="13"/>
        <v>692.9</v>
      </c>
      <c r="AD52">
        <f t="shared" si="14"/>
        <v>756.5</v>
      </c>
    </row>
    <row r="53" ht="21" spans="1:30">
      <c r="A53" s="3">
        <v>52</v>
      </c>
      <c r="B53" s="3" t="s">
        <v>69</v>
      </c>
      <c r="C53" s="3"/>
      <c r="D53" s="3"/>
      <c r="E53" s="3">
        <v>56.5</v>
      </c>
      <c r="F53" s="3">
        <v>29</v>
      </c>
      <c r="G53" s="3">
        <f t="shared" si="0"/>
        <v>1638.5</v>
      </c>
      <c r="H53" s="3">
        <v>100</v>
      </c>
      <c r="I53" s="3">
        <v>0</v>
      </c>
      <c r="J53" s="3">
        <f t="shared" si="1"/>
        <v>1738.5</v>
      </c>
      <c r="L53" s="3">
        <v>52</v>
      </c>
      <c r="M53" s="6" t="s">
        <v>69</v>
      </c>
      <c r="N53" s="6">
        <v>66.9</v>
      </c>
      <c r="O53" s="6">
        <v>46</v>
      </c>
      <c r="P53" s="2">
        <f t="shared" si="15"/>
        <v>1738.5</v>
      </c>
      <c r="Q53" s="4">
        <v>1000</v>
      </c>
      <c r="R53" s="2">
        <f t="shared" si="9"/>
        <v>738.5</v>
      </c>
      <c r="S53" s="8">
        <f t="shared" si="10"/>
        <v>3077.4</v>
      </c>
      <c r="T53" s="2">
        <f t="shared" si="11"/>
        <v>3815.9</v>
      </c>
      <c r="W53" s="6" t="s">
        <v>69</v>
      </c>
      <c r="X53">
        <v>3646.1</v>
      </c>
      <c r="Y53">
        <v>3500</v>
      </c>
      <c r="Z53" s="2">
        <f t="shared" si="12"/>
        <v>146.1</v>
      </c>
      <c r="AA53">
        <v>48</v>
      </c>
      <c r="AB53">
        <v>53.3</v>
      </c>
      <c r="AC53">
        <f t="shared" si="13"/>
        <v>2558.4</v>
      </c>
      <c r="AD53">
        <f t="shared" si="14"/>
        <v>2704.5</v>
      </c>
    </row>
    <row r="54" ht="21" spans="1:30">
      <c r="A54" s="3">
        <v>53</v>
      </c>
      <c r="B54" s="3" t="s">
        <v>70</v>
      </c>
      <c r="C54" s="3"/>
      <c r="D54" s="3"/>
      <c r="E54" s="3">
        <v>56.5</v>
      </c>
      <c r="F54" s="3">
        <v>44</v>
      </c>
      <c r="G54" s="3">
        <f t="shared" si="0"/>
        <v>2486</v>
      </c>
      <c r="H54" s="3">
        <v>100</v>
      </c>
      <c r="I54" s="3">
        <v>0</v>
      </c>
      <c r="J54" s="3">
        <f t="shared" si="1"/>
        <v>2586</v>
      </c>
      <c r="L54" s="3">
        <v>53</v>
      </c>
      <c r="M54" s="6" t="s">
        <v>70</v>
      </c>
      <c r="N54" s="6">
        <v>66.9</v>
      </c>
      <c r="O54" s="6">
        <v>11</v>
      </c>
      <c r="P54" s="2">
        <f t="shared" si="15"/>
        <v>2586</v>
      </c>
      <c r="Q54" s="4">
        <v>2100</v>
      </c>
      <c r="R54" s="2">
        <f t="shared" si="9"/>
        <v>486</v>
      </c>
      <c r="S54" s="8">
        <f t="shared" si="10"/>
        <v>735.9</v>
      </c>
      <c r="T54" s="2">
        <f t="shared" si="11"/>
        <v>1221.9</v>
      </c>
      <c r="W54" s="6" t="s">
        <v>70</v>
      </c>
      <c r="X54">
        <v>1945.05</v>
      </c>
      <c r="Y54">
        <v>1500</v>
      </c>
      <c r="Z54" s="2">
        <f t="shared" si="12"/>
        <v>445.05</v>
      </c>
      <c r="AA54">
        <v>43</v>
      </c>
      <c r="AB54">
        <v>53.3</v>
      </c>
      <c r="AC54">
        <f t="shared" si="13"/>
        <v>2291.9</v>
      </c>
      <c r="AD54">
        <f t="shared" si="14"/>
        <v>2736.95</v>
      </c>
    </row>
    <row r="55" ht="21" spans="1:30">
      <c r="A55" s="3">
        <v>54</v>
      </c>
      <c r="B55" s="3" t="s">
        <v>71</v>
      </c>
      <c r="C55" s="3"/>
      <c r="D55" s="3"/>
      <c r="E55" s="3">
        <v>56.5</v>
      </c>
      <c r="F55" s="3">
        <v>33</v>
      </c>
      <c r="G55" s="3">
        <f t="shared" si="0"/>
        <v>1864.5</v>
      </c>
      <c r="H55" s="3">
        <v>100</v>
      </c>
      <c r="I55" s="3">
        <v>866</v>
      </c>
      <c r="J55" s="3">
        <f t="shared" si="1"/>
        <v>2830.5</v>
      </c>
      <c r="L55" s="3">
        <v>54</v>
      </c>
      <c r="M55" s="6" t="s">
        <v>71</v>
      </c>
      <c r="N55" s="6">
        <v>66.9</v>
      </c>
      <c r="O55" s="6">
        <v>20</v>
      </c>
      <c r="P55" s="2">
        <f t="shared" si="15"/>
        <v>2830.5</v>
      </c>
      <c r="Q55" s="4">
        <v>2000</v>
      </c>
      <c r="R55" s="2">
        <f t="shared" si="9"/>
        <v>830.5</v>
      </c>
      <c r="S55" s="8">
        <f t="shared" si="10"/>
        <v>1338</v>
      </c>
      <c r="T55" s="2">
        <f t="shared" si="11"/>
        <v>2168.5</v>
      </c>
      <c r="W55" s="6" t="s">
        <v>71</v>
      </c>
      <c r="X55">
        <v>2361.4</v>
      </c>
      <c r="Y55">
        <v>1800</v>
      </c>
      <c r="Z55" s="2">
        <f t="shared" si="12"/>
        <v>561.4</v>
      </c>
      <c r="AA55">
        <v>46</v>
      </c>
      <c r="AB55">
        <v>53.3</v>
      </c>
      <c r="AC55">
        <f t="shared" si="13"/>
        <v>2451.8</v>
      </c>
      <c r="AD55">
        <f t="shared" si="14"/>
        <v>3013.2</v>
      </c>
    </row>
    <row r="56" ht="21" spans="1:30">
      <c r="A56" s="3">
        <v>55</v>
      </c>
      <c r="B56" s="3" t="s">
        <v>72</v>
      </c>
      <c r="C56" s="3"/>
      <c r="D56" s="3"/>
      <c r="E56" s="3">
        <v>56.5</v>
      </c>
      <c r="F56" s="3">
        <v>11</v>
      </c>
      <c r="G56" s="3">
        <f t="shared" si="0"/>
        <v>621.5</v>
      </c>
      <c r="H56" s="3">
        <v>0</v>
      </c>
      <c r="I56" s="3">
        <v>388</v>
      </c>
      <c r="J56" s="3">
        <f t="shared" si="1"/>
        <v>1009.5</v>
      </c>
      <c r="L56" s="3">
        <v>55</v>
      </c>
      <c r="M56" s="6" t="s">
        <v>72</v>
      </c>
      <c r="N56" s="6">
        <v>66.9</v>
      </c>
      <c r="O56" s="6">
        <v>7</v>
      </c>
      <c r="P56" s="2">
        <f t="shared" si="15"/>
        <v>1009.5</v>
      </c>
      <c r="Q56" s="4">
        <v>0</v>
      </c>
      <c r="R56" s="2">
        <f t="shared" si="9"/>
        <v>1009.5</v>
      </c>
      <c r="S56" s="8">
        <f t="shared" si="10"/>
        <v>468.3</v>
      </c>
      <c r="T56" s="2">
        <f t="shared" si="11"/>
        <v>1477.8</v>
      </c>
      <c r="W56" s="6" t="s">
        <v>72</v>
      </c>
      <c r="X56">
        <v>1785.35</v>
      </c>
      <c r="Y56">
        <v>2000</v>
      </c>
      <c r="Z56" s="2">
        <f t="shared" si="12"/>
        <v>-214.65</v>
      </c>
      <c r="AA56">
        <v>18</v>
      </c>
      <c r="AB56">
        <v>53.3</v>
      </c>
      <c r="AC56">
        <f t="shared" si="13"/>
        <v>959.4</v>
      </c>
      <c r="AD56">
        <f t="shared" si="14"/>
        <v>744.75</v>
      </c>
    </row>
    <row r="57" ht="21" spans="1:30">
      <c r="A57" s="3">
        <v>56</v>
      </c>
      <c r="B57" s="3" t="s">
        <v>73</v>
      </c>
      <c r="C57" s="3"/>
      <c r="D57" s="3"/>
      <c r="E57" s="3">
        <v>56.5</v>
      </c>
      <c r="F57" s="3">
        <v>23</v>
      </c>
      <c r="G57" s="3">
        <f t="shared" si="0"/>
        <v>1299.5</v>
      </c>
      <c r="H57" s="3">
        <v>100</v>
      </c>
      <c r="I57" s="3">
        <v>0</v>
      </c>
      <c r="J57" s="3">
        <f t="shared" si="1"/>
        <v>1399.5</v>
      </c>
      <c r="L57" s="3">
        <v>56</v>
      </c>
      <c r="M57" s="6" t="s">
        <v>73</v>
      </c>
      <c r="N57" s="6">
        <v>66.9</v>
      </c>
      <c r="O57" s="6">
        <v>20</v>
      </c>
      <c r="P57" s="2">
        <f t="shared" si="15"/>
        <v>1399.5</v>
      </c>
      <c r="Q57" s="4">
        <v>1400</v>
      </c>
      <c r="R57" s="2">
        <f t="shared" si="9"/>
        <v>-0.5</v>
      </c>
      <c r="S57" s="8">
        <f t="shared" si="10"/>
        <v>1338</v>
      </c>
      <c r="T57" s="2">
        <f t="shared" si="11"/>
        <v>1337.5</v>
      </c>
      <c r="W57" s="6" t="s">
        <v>73</v>
      </c>
      <c r="X57">
        <v>560.02</v>
      </c>
      <c r="Y57">
        <v>560</v>
      </c>
      <c r="Z57" s="2">
        <f t="shared" si="12"/>
        <v>0.0199999999999818</v>
      </c>
      <c r="AA57">
        <v>40</v>
      </c>
      <c r="AB57">
        <v>53.3</v>
      </c>
      <c r="AC57">
        <f t="shared" si="13"/>
        <v>2132</v>
      </c>
      <c r="AD57">
        <f t="shared" si="14"/>
        <v>2132.02</v>
      </c>
    </row>
    <row r="58" ht="21" spans="1:30">
      <c r="A58" s="3">
        <v>57</v>
      </c>
      <c r="B58" s="3" t="s">
        <v>74</v>
      </c>
      <c r="C58" s="3"/>
      <c r="D58" s="3"/>
      <c r="E58" s="3">
        <v>56.5</v>
      </c>
      <c r="F58" s="3">
        <v>17</v>
      </c>
      <c r="G58" s="3">
        <f t="shared" si="0"/>
        <v>960.5</v>
      </c>
      <c r="H58" s="3">
        <v>100</v>
      </c>
      <c r="I58" s="3">
        <v>0</v>
      </c>
      <c r="J58" s="3">
        <f t="shared" si="1"/>
        <v>1060.5</v>
      </c>
      <c r="L58" s="3">
        <v>57</v>
      </c>
      <c r="M58" s="6" t="s">
        <v>75</v>
      </c>
      <c r="N58" s="6">
        <v>66.9</v>
      </c>
      <c r="O58" s="6">
        <v>29</v>
      </c>
      <c r="P58" s="2">
        <v>960.5</v>
      </c>
      <c r="Q58" s="4">
        <v>1000</v>
      </c>
      <c r="R58" s="2">
        <f t="shared" si="9"/>
        <v>-39.5</v>
      </c>
      <c r="S58" s="8">
        <f t="shared" si="10"/>
        <v>1940.1</v>
      </c>
      <c r="T58" s="2">
        <f t="shared" si="11"/>
        <v>1900.6</v>
      </c>
      <c r="W58" s="6" t="s">
        <v>75</v>
      </c>
      <c r="X58">
        <v>2068.45</v>
      </c>
      <c r="Y58">
        <v>2000</v>
      </c>
      <c r="Z58" s="2">
        <f t="shared" si="12"/>
        <v>68.4499999999998</v>
      </c>
      <c r="AA58">
        <v>40</v>
      </c>
      <c r="AB58">
        <v>53.3</v>
      </c>
      <c r="AC58">
        <f t="shared" si="13"/>
        <v>2132</v>
      </c>
      <c r="AD58">
        <f t="shared" si="14"/>
        <v>2200.45</v>
      </c>
    </row>
    <row r="59" ht="21" spans="1:30">
      <c r="A59" s="3">
        <v>58</v>
      </c>
      <c r="B59" s="3" t="s">
        <v>76</v>
      </c>
      <c r="C59" s="3"/>
      <c r="D59" s="3"/>
      <c r="E59" s="3"/>
      <c r="F59" s="3"/>
      <c r="G59" s="3"/>
      <c r="H59" s="3"/>
      <c r="I59" s="3">
        <v>7415</v>
      </c>
      <c r="J59" s="3">
        <f t="shared" si="1"/>
        <v>7415</v>
      </c>
      <c r="L59" s="3">
        <v>58</v>
      </c>
      <c r="M59" s="6" t="s">
        <v>76</v>
      </c>
      <c r="N59" s="6">
        <v>66.9</v>
      </c>
      <c r="O59" s="6"/>
      <c r="P59" s="2">
        <v>7415</v>
      </c>
      <c r="Q59" s="4">
        <v>0</v>
      </c>
      <c r="R59" s="2">
        <f t="shared" si="9"/>
        <v>7415</v>
      </c>
      <c r="S59" s="8">
        <f t="shared" si="10"/>
        <v>0</v>
      </c>
      <c r="T59" s="2">
        <f t="shared" si="11"/>
        <v>7415</v>
      </c>
      <c r="W59" s="6" t="s">
        <v>76</v>
      </c>
      <c r="X59">
        <v>7415</v>
      </c>
      <c r="Z59" s="2">
        <f t="shared" si="12"/>
        <v>7415</v>
      </c>
      <c r="AB59">
        <v>53.3</v>
      </c>
      <c r="AC59">
        <f t="shared" si="13"/>
        <v>0</v>
      </c>
      <c r="AD59">
        <f t="shared" si="14"/>
        <v>7415</v>
      </c>
    </row>
    <row r="60" ht="21" spans="1:30">
      <c r="A60" s="3">
        <v>59</v>
      </c>
      <c r="B60" s="3" t="s">
        <v>77</v>
      </c>
      <c r="C60" s="3"/>
      <c r="D60" s="3"/>
      <c r="E60" s="3"/>
      <c r="F60" s="3" t="s">
        <v>78</v>
      </c>
      <c r="G60" s="3"/>
      <c r="H60" s="3"/>
      <c r="I60" s="3">
        <v>2367</v>
      </c>
      <c r="J60" s="3">
        <f t="shared" si="1"/>
        <v>2367</v>
      </c>
      <c r="L60" s="3">
        <v>59</v>
      </c>
      <c r="M60" s="6" t="s">
        <v>77</v>
      </c>
      <c r="N60" s="6">
        <v>66.9</v>
      </c>
      <c r="O60" s="6"/>
      <c r="P60" s="2">
        <f t="shared" si="15"/>
        <v>2367</v>
      </c>
      <c r="Q60" s="4">
        <v>0</v>
      </c>
      <c r="R60" s="2">
        <f t="shared" si="9"/>
        <v>2367</v>
      </c>
      <c r="S60" s="8">
        <f t="shared" si="10"/>
        <v>0</v>
      </c>
      <c r="T60" s="2">
        <f t="shared" si="11"/>
        <v>2367</v>
      </c>
      <c r="W60" s="6" t="s">
        <v>77</v>
      </c>
      <c r="X60">
        <v>2367</v>
      </c>
      <c r="Z60" s="2">
        <f t="shared" si="12"/>
        <v>2367</v>
      </c>
      <c r="AB60">
        <v>53.3</v>
      </c>
      <c r="AC60">
        <f t="shared" si="13"/>
        <v>0</v>
      </c>
      <c r="AD60">
        <f t="shared" si="14"/>
        <v>2367</v>
      </c>
    </row>
    <row r="61" ht="21" spans="1:30">
      <c r="A61" s="3">
        <v>60</v>
      </c>
      <c r="B61" s="3" t="s">
        <v>79</v>
      </c>
      <c r="C61" s="3"/>
      <c r="D61" s="3"/>
      <c r="E61" s="3"/>
      <c r="F61" s="3"/>
      <c r="G61" s="3"/>
      <c r="H61" s="3"/>
      <c r="I61" s="3">
        <v>7794</v>
      </c>
      <c r="J61" s="3">
        <f t="shared" si="1"/>
        <v>7794</v>
      </c>
      <c r="L61" s="3">
        <v>60</v>
      </c>
      <c r="M61" s="6" t="s">
        <v>79</v>
      </c>
      <c r="N61" s="6">
        <v>66.9</v>
      </c>
      <c r="O61" s="6"/>
      <c r="P61" s="2">
        <f t="shared" si="15"/>
        <v>7794</v>
      </c>
      <c r="Q61" s="4">
        <v>0</v>
      </c>
      <c r="R61" s="2">
        <f t="shared" si="9"/>
        <v>7794</v>
      </c>
      <c r="S61" s="8">
        <f t="shared" si="10"/>
        <v>0</v>
      </c>
      <c r="T61" s="2">
        <f t="shared" si="11"/>
        <v>7794</v>
      </c>
      <c r="W61" s="6" t="s">
        <v>79</v>
      </c>
      <c r="X61">
        <v>7794</v>
      </c>
      <c r="Z61" s="2">
        <f t="shared" si="12"/>
        <v>7794</v>
      </c>
      <c r="AB61">
        <v>53.3</v>
      </c>
      <c r="AC61">
        <f t="shared" si="13"/>
        <v>0</v>
      </c>
      <c r="AD61">
        <f t="shared" si="14"/>
        <v>7794</v>
      </c>
    </row>
    <row r="62" ht="21" spans="1:30">
      <c r="A62" s="3">
        <v>61</v>
      </c>
      <c r="B62" s="3" t="s">
        <v>80</v>
      </c>
      <c r="C62" s="3"/>
      <c r="D62" s="3"/>
      <c r="E62" s="3"/>
      <c r="F62" s="3"/>
      <c r="G62" s="3"/>
      <c r="H62" s="3"/>
      <c r="I62" s="3">
        <v>657</v>
      </c>
      <c r="J62" s="3">
        <f t="shared" si="1"/>
        <v>657</v>
      </c>
      <c r="L62" s="3">
        <v>61</v>
      </c>
      <c r="M62" s="6" t="s">
        <v>80</v>
      </c>
      <c r="N62" s="6">
        <v>66.9</v>
      </c>
      <c r="O62" s="6"/>
      <c r="P62" s="2">
        <f t="shared" si="15"/>
        <v>657</v>
      </c>
      <c r="Q62" s="4">
        <v>0</v>
      </c>
      <c r="R62" s="2">
        <f t="shared" si="9"/>
        <v>657</v>
      </c>
      <c r="S62" s="8">
        <f t="shared" si="10"/>
        <v>0</v>
      </c>
      <c r="T62" s="2">
        <f t="shared" si="11"/>
        <v>657</v>
      </c>
      <c r="W62" s="6" t="s">
        <v>80</v>
      </c>
      <c r="X62">
        <v>657</v>
      </c>
      <c r="Z62" s="2">
        <f t="shared" si="12"/>
        <v>657</v>
      </c>
      <c r="AB62">
        <v>53.3</v>
      </c>
      <c r="AC62">
        <f t="shared" si="13"/>
        <v>0</v>
      </c>
      <c r="AD62">
        <f t="shared" si="14"/>
        <v>657</v>
      </c>
    </row>
    <row r="63" ht="21" spans="1:30">
      <c r="A63" s="3">
        <v>62</v>
      </c>
      <c r="B63" s="3" t="s">
        <v>81</v>
      </c>
      <c r="C63" s="3"/>
      <c r="D63" s="3"/>
      <c r="E63" s="3"/>
      <c r="F63" s="3"/>
      <c r="G63" s="3"/>
      <c r="H63" s="3"/>
      <c r="I63" s="3">
        <v>4153</v>
      </c>
      <c r="J63" s="3">
        <f t="shared" si="1"/>
        <v>4153</v>
      </c>
      <c r="L63" s="3">
        <v>62</v>
      </c>
      <c r="M63" s="6" t="s">
        <v>81</v>
      </c>
      <c r="N63" s="6">
        <v>66.9</v>
      </c>
      <c r="O63" s="6"/>
      <c r="P63" s="2">
        <f t="shared" si="15"/>
        <v>4153</v>
      </c>
      <c r="Q63" s="4">
        <v>0</v>
      </c>
      <c r="R63" s="2">
        <f t="shared" si="9"/>
        <v>4153</v>
      </c>
      <c r="S63" s="8">
        <f t="shared" si="10"/>
        <v>0</v>
      </c>
      <c r="T63" s="2">
        <f t="shared" si="11"/>
        <v>4153</v>
      </c>
      <c r="W63" s="6" t="s">
        <v>81</v>
      </c>
      <c r="X63">
        <v>4153</v>
      </c>
      <c r="Y63">
        <v>4153</v>
      </c>
      <c r="Z63" s="2">
        <f t="shared" si="12"/>
        <v>0</v>
      </c>
      <c r="AB63">
        <v>53.3</v>
      </c>
      <c r="AC63">
        <f t="shared" si="13"/>
        <v>0</v>
      </c>
      <c r="AD63">
        <f t="shared" si="14"/>
        <v>0</v>
      </c>
    </row>
    <row r="64" ht="21" spans="1:30">
      <c r="A64" s="3">
        <v>63</v>
      </c>
      <c r="B64" s="3" t="s">
        <v>82</v>
      </c>
      <c r="C64" s="3"/>
      <c r="D64" s="3"/>
      <c r="E64" s="3"/>
      <c r="F64" s="3"/>
      <c r="G64" s="3"/>
      <c r="H64" s="3"/>
      <c r="I64" s="3">
        <v>9959</v>
      </c>
      <c r="J64" s="3">
        <f t="shared" si="1"/>
        <v>9959</v>
      </c>
      <c r="L64" s="3">
        <v>63</v>
      </c>
      <c r="M64" s="6" t="s">
        <v>82</v>
      </c>
      <c r="N64" s="6">
        <v>66.9</v>
      </c>
      <c r="O64" s="6"/>
      <c r="P64" s="2">
        <f t="shared" si="15"/>
        <v>9959</v>
      </c>
      <c r="Q64" s="4">
        <v>0</v>
      </c>
      <c r="R64" s="2">
        <f t="shared" si="9"/>
        <v>9959</v>
      </c>
      <c r="S64" s="8">
        <f t="shared" si="10"/>
        <v>0</v>
      </c>
      <c r="T64" s="2">
        <f t="shared" si="11"/>
        <v>9959</v>
      </c>
      <c r="W64" s="6" t="s">
        <v>82</v>
      </c>
      <c r="X64">
        <v>9960</v>
      </c>
      <c r="Z64" s="2">
        <f t="shared" si="12"/>
        <v>9960</v>
      </c>
      <c r="AB64">
        <v>53.3</v>
      </c>
      <c r="AC64">
        <f t="shared" si="13"/>
        <v>0</v>
      </c>
      <c r="AD64">
        <f t="shared" si="14"/>
        <v>9960</v>
      </c>
    </row>
    <row r="65" ht="21" spans="1:30">
      <c r="A65" s="3"/>
      <c r="B65" s="3"/>
      <c r="C65" s="3"/>
      <c r="D65" s="3"/>
      <c r="E65" s="3"/>
      <c r="F65" s="3"/>
      <c r="G65" s="3"/>
      <c r="H65" s="3"/>
      <c r="I65" s="3"/>
      <c r="J65" s="3"/>
      <c r="L65" s="3">
        <v>64</v>
      </c>
      <c r="M65" s="6" t="s">
        <v>83</v>
      </c>
      <c r="N65" s="6">
        <v>66.9</v>
      </c>
      <c r="O65" s="6">
        <v>2</v>
      </c>
      <c r="Q65" s="4"/>
      <c r="S65" s="8">
        <f t="shared" si="10"/>
        <v>133.8</v>
      </c>
      <c r="T65" s="2">
        <f t="shared" si="11"/>
        <v>133.8</v>
      </c>
      <c r="W65" s="6" t="s">
        <v>83</v>
      </c>
      <c r="X65">
        <v>718.8</v>
      </c>
      <c r="Z65" s="2">
        <f t="shared" si="12"/>
        <v>718.8</v>
      </c>
      <c r="AA65">
        <v>27</v>
      </c>
      <c r="AB65">
        <v>53.3</v>
      </c>
      <c r="AC65">
        <f t="shared" si="13"/>
        <v>1439.1</v>
      </c>
      <c r="AD65">
        <f t="shared" si="14"/>
        <v>2157.9</v>
      </c>
    </row>
    <row r="66" ht="21" spans="12:30">
      <c r="L66">
        <v>65</v>
      </c>
      <c r="M66" s="2" t="s">
        <v>84</v>
      </c>
      <c r="N66" s="6">
        <v>66.9</v>
      </c>
      <c r="O66" s="2">
        <v>1</v>
      </c>
      <c r="Q66" s="4"/>
      <c r="S66" s="8">
        <f t="shared" si="10"/>
        <v>66.9</v>
      </c>
      <c r="T66" s="2">
        <f t="shared" si="11"/>
        <v>66.9</v>
      </c>
      <c r="W66" s="2" t="s">
        <v>84</v>
      </c>
      <c r="X66">
        <v>66.85</v>
      </c>
      <c r="Z66" s="2">
        <f t="shared" si="12"/>
        <v>66.85</v>
      </c>
      <c r="AB66">
        <v>53.3</v>
      </c>
      <c r="AC66">
        <f t="shared" si="13"/>
        <v>0</v>
      </c>
      <c r="AD66">
        <f t="shared" si="14"/>
        <v>66.85</v>
      </c>
    </row>
    <row r="67" ht="21" spans="17:27">
      <c r="Q67" s="4"/>
      <c r="S67" s="8"/>
      <c r="X67" s="10"/>
      <c r="AA67" s="10"/>
    </row>
    <row r="68" ht="21" spans="15:30">
      <c r="O68" s="9">
        <f>SUM(O2:O66)</f>
        <v>1266</v>
      </c>
      <c r="Q68" s="4"/>
      <c r="S68" s="8"/>
      <c r="AD68" s="10"/>
    </row>
    <row r="69" ht="21" spans="17:30">
      <c r="Q69" s="11">
        <f>SUM(Q2:Q64)</f>
        <v>94060</v>
      </c>
      <c r="R69" s="9">
        <f>SUM(R2:R64)</f>
        <v>79787.5</v>
      </c>
      <c r="S69" s="8"/>
      <c r="T69" s="9">
        <f>SUM(T2:T66)</f>
        <v>164482.9</v>
      </c>
      <c r="AD69" s="10">
        <f>SUM(AD2:AD66)</f>
        <v>163915.87</v>
      </c>
    </row>
    <row r="70" ht="21" spans="17:27">
      <c r="Q70" s="4"/>
      <c r="S70" s="8"/>
      <c r="AA70" s="10">
        <f>SUM(AA2:AA66)</f>
        <v>2050</v>
      </c>
    </row>
    <row r="71" ht="21" spans="17:17">
      <c r="Q71" s="4"/>
    </row>
    <row r="72" ht="21" spans="17:17">
      <c r="Q72" s="4"/>
    </row>
    <row r="73" ht="21" spans="17:17">
      <c r="Q73" s="4"/>
    </row>
    <row r="74" ht="21" spans="17:17">
      <c r="Q74" s="4"/>
    </row>
    <row r="75" ht="21" spans="17:17">
      <c r="Q75" s="4"/>
    </row>
    <row r="76" ht="21" spans="17:17">
      <c r="Q76" s="4"/>
    </row>
    <row r="77" ht="21" spans="17:17">
      <c r="Q77" s="4"/>
    </row>
    <row r="78" ht="21" spans="17:17">
      <c r="Q78" s="4"/>
    </row>
    <row r="79" ht="21" spans="17:17">
      <c r="Q79" s="4"/>
    </row>
    <row r="80" ht="21" spans="17:17">
      <c r="Q80" s="4"/>
    </row>
    <row r="81" ht="21" spans="17:17">
      <c r="Q81" s="4"/>
    </row>
    <row r="82" ht="21" spans="17:17">
      <c r="Q82" s="4"/>
    </row>
    <row r="83" ht="21" spans="17:17">
      <c r="Q83" s="4"/>
    </row>
    <row r="84" ht="21" spans="17:17">
      <c r="Q84" s="4"/>
    </row>
    <row r="85" ht="21" spans="17:17">
      <c r="Q85" s="4"/>
    </row>
    <row r="86" ht="21" spans="17:17">
      <c r="Q86" s="4"/>
    </row>
    <row r="87" ht="21" spans="17:17">
      <c r="Q87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Q13" sqref="Q13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</dc:creator>
  <cp:lastModifiedBy>itbd</cp:lastModifiedBy>
  <dcterms:created xsi:type="dcterms:W3CDTF">2026-03-02T19:17:00Z</dcterms:created>
  <dcterms:modified xsi:type="dcterms:W3CDTF">2026-05-03T06:06:38Z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D88411E9837141B88359F8A2FA9A08C5_13</vt:lpwstr>
  </property>
  <property fmtid="{D5CDD505-2E9C-101B-9397-08002B2CF9AE}" pid="3" name="KSOProductBuildVer">
    <vt:lpwstr>1033-12.2.0.23196</vt:lpwstr>
  </property>
</Properties>
</file>