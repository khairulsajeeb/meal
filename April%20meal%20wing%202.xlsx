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480" windowHeight="6920"/>
  </bookViews>
  <sheets>
    <sheet name="Names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<sst xmlns="http://schemas.openxmlformats.org/spreadsheetml/2006/main" count="318" uniqueCount="95">
  <si>
    <t>SL</t>
  </si>
  <si>
    <t>Name</t>
  </si>
  <si>
    <t xml:space="preserve">meal rate </t>
  </si>
  <si>
    <t>meal count</t>
  </si>
  <si>
    <t>Regular</t>
  </si>
  <si>
    <t>Special</t>
  </si>
  <si>
    <t xml:space="preserve">prevoius due </t>
  </si>
  <si>
    <t>Net payable</t>
  </si>
  <si>
    <t>Meal rate</t>
  </si>
  <si>
    <t>past payble</t>
  </si>
  <si>
    <t>paid</t>
  </si>
  <si>
    <t>Due</t>
  </si>
  <si>
    <t>Meal cost</t>
  </si>
  <si>
    <t>Eid bonous for stuff</t>
  </si>
  <si>
    <t>Net Payable</t>
  </si>
  <si>
    <t>Previous Net payable</t>
  </si>
  <si>
    <t xml:space="preserve">Paid </t>
  </si>
  <si>
    <t>Meal count</t>
  </si>
  <si>
    <t>Meal Cost</t>
  </si>
  <si>
    <t>Past Payable</t>
  </si>
  <si>
    <t>Md Saifur Rahman</t>
  </si>
  <si>
    <t>Wasif Ahmed</t>
  </si>
  <si>
    <t>Md. Mahim Khan</t>
  </si>
  <si>
    <t>Mehedi Hasan Khan</t>
  </si>
  <si>
    <t>Taha Zubaer Khan</t>
  </si>
  <si>
    <t>Rayhan Sarkar</t>
  </si>
  <si>
    <t>S M Eman Reza Bhuiya</t>
  </si>
  <si>
    <t>S M Elman Reza Bhuiya</t>
  </si>
  <si>
    <t>Md. Mahbubur Rahman</t>
  </si>
  <si>
    <t>Aurnob roy</t>
  </si>
  <si>
    <t>Md. Fahim Iftekhar</t>
  </si>
  <si>
    <t>Taosif Turjo</t>
  </si>
  <si>
    <t>Atik Hasan Ahon</t>
  </si>
  <si>
    <t>Mahrib Islam</t>
  </si>
  <si>
    <t>Niaz Rahman</t>
  </si>
  <si>
    <t>Abdullah Al Maruf</t>
  </si>
  <si>
    <t>S M Munsir Islam</t>
  </si>
  <si>
    <t>S M Muntasir Islam</t>
  </si>
  <si>
    <t>Muntaqim Mahin</t>
  </si>
  <si>
    <t>Rahul Roy</t>
  </si>
  <si>
    <t>Md. Abu Musa</t>
  </si>
  <si>
    <t>Rajon Paul</t>
  </si>
  <si>
    <t>Md. Arhan Zushal Nafi</t>
  </si>
  <si>
    <t>Ahmed Abrar Rabbi</t>
  </si>
  <si>
    <t>Prangon Roy Pohel</t>
  </si>
  <si>
    <t>Kabir Ahmed Sagor</t>
  </si>
  <si>
    <t>Morshedul Hasan</t>
  </si>
  <si>
    <t>Khairuzzaman Bipob</t>
  </si>
  <si>
    <t>Sayem Ibne Omar Aliv</t>
  </si>
  <si>
    <t>Sayem Ibne Omar Alvi</t>
  </si>
  <si>
    <t>Md. Imran Hossain</t>
  </si>
  <si>
    <t>Al Shahriar Nirob</t>
  </si>
  <si>
    <t>Mostak Ahmed</t>
  </si>
  <si>
    <t>A.G.M Fahim Faisal</t>
  </si>
  <si>
    <t>H.M Atahar Kamal Saimun</t>
  </si>
  <si>
    <t>Md. Yeasir Arafat</t>
  </si>
  <si>
    <t>Jubayer Hasan</t>
  </si>
  <si>
    <t>Shahriar Hasan Sam</t>
  </si>
  <si>
    <t>Shahriar Hasan Siam</t>
  </si>
  <si>
    <t>mohaymenul islam</t>
  </si>
  <si>
    <t>Shibla Hasan</t>
  </si>
  <si>
    <t>Shihab Ahmed Nur</t>
  </si>
  <si>
    <t>Md. Abdus Salam Sayem</t>
  </si>
  <si>
    <t>Hasnain Imtiaz Khan</t>
  </si>
  <si>
    <t>Mokarrom Hossain Bipul</t>
  </si>
  <si>
    <t>Biplob Hossein</t>
  </si>
  <si>
    <t>Ismam Labib</t>
  </si>
  <si>
    <t>Tasin Zaman</t>
  </si>
  <si>
    <t>Shams Al Rubayet</t>
  </si>
  <si>
    <t>Sadman Sakib</t>
  </si>
  <si>
    <t>Riazul Islam</t>
  </si>
  <si>
    <t>Ashhab Labib</t>
  </si>
  <si>
    <t>Sadi Mohammad Sayem</t>
  </si>
  <si>
    <t>Amir Galib Baki</t>
  </si>
  <si>
    <t>Arif Morshed Abhi</t>
  </si>
  <si>
    <t>Sadman Mahmud</t>
  </si>
  <si>
    <t>Sadman Shaikh Sadab</t>
  </si>
  <si>
    <t>Sadi Muhammad</t>
  </si>
  <si>
    <t>Tahsin Azad</t>
  </si>
  <si>
    <t>Nahian Sakib Chowdhuri</t>
  </si>
  <si>
    <t>Ragib Shahrier Rafi</t>
  </si>
  <si>
    <t>Muztahid Farhan</t>
  </si>
  <si>
    <t>Mohammad Kaif</t>
  </si>
  <si>
    <t>Onirban Niloy</t>
  </si>
  <si>
    <t>ShahnurRahman Mukut</t>
  </si>
  <si>
    <t>Md. Amin Galib</t>
  </si>
  <si>
    <t>Krishnenda Biswas</t>
  </si>
  <si>
    <t>S M Abidur Rahman</t>
  </si>
  <si>
    <t>Sk Abu Zaid Anjum</t>
  </si>
  <si>
    <t>Sadik Mahmud Siam</t>
  </si>
  <si>
    <t>Md. Shafiul Alom</t>
  </si>
  <si>
    <t>wayes</t>
  </si>
  <si>
    <t>abir</t>
  </si>
  <si>
    <t>Rajib</t>
  </si>
  <si>
    <t>Dil Mohammed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</si>
</sst>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412750</xdr:colOff>
      <xdr:row>74</xdr:row>
      <xdr:rowOff>57150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8337550" cy="13684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6"/>
  <sheetViews>
    <sheetView tabSelected="1" zoomScale="85" zoomScaleNormal="85" topLeftCell="AF57" workbookViewId="0">
      <selection activeCell="AP74" sqref="AP74"/>
    </sheetView>
  </sheetViews>
  <sheetFormatPr defaultColWidth="9" defaultRowHeight="14.5"/>
  <cols>
    <col min="2" max="2" width="27" customWidth="1"/>
    <col min="3" max="3" width="12.7090909090909" customWidth="1"/>
    <col min="4" max="4" width="14.1363636363636" customWidth="1"/>
    <col min="5" max="5" width="10.8545454545455" customWidth="1"/>
    <col min="6" max="6" width="11.2818181818182" customWidth="1"/>
    <col min="7" max="7" width="15.8545454545455" customWidth="1"/>
    <col min="8" max="8" width="17.7090909090909" customWidth="1"/>
    <col min="10" max="10" width="8.92727272727273" style="1" customWidth="1"/>
    <col min="12" max="12" width="27" customWidth="1"/>
    <col min="13" max="13" width="10.9818181818182" customWidth="1"/>
    <col min="14" max="14" width="10.5181818181818" customWidth="1"/>
    <col min="15" max="15" width="10.6454545454545" customWidth="1"/>
    <col min="19" max="19" width="19.1363636363636" customWidth="1"/>
    <col min="20" max="20" width="11.2272727272727" customWidth="1"/>
    <col min="22" max="22" width="9" style="2"/>
    <col min="23" max="23" width="27" customWidth="1"/>
    <col min="24" max="24" width="18.2818181818182" customWidth="1"/>
    <col min="26" max="26" width="10.5454545454545"/>
    <col min="28" max="28" width="11.3363636363636" customWidth="1"/>
    <col min="29" max="29" width="11.1181818181818" customWidth="1"/>
    <col min="30" max="30" width="14" customWidth="1"/>
    <col min="32" max="32" width="9" style="2"/>
    <col min="33" max="33" width="27" customWidth="1"/>
    <col min="34" max="34" width="12.5636363636364" customWidth="1"/>
    <col min="36" max="36" width="10.7090909090909" customWidth="1"/>
    <col min="37" max="37" width="10.6181818181818" customWidth="1"/>
    <col min="38" max="38" width="10.7090909090909" customWidth="1"/>
    <col min="39" max="39" width="10.1090909090909" customWidth="1"/>
    <col min="40" max="40" width="11.1272727272727" customWidth="1"/>
  </cols>
  <sheetData>
    <row r="1" ht="18.5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K1" s="3" t="s">
        <v>0</v>
      </c>
      <c r="L1" s="3" t="s">
        <v>1</v>
      </c>
      <c r="M1" s="4" t="s">
        <v>8</v>
      </c>
      <c r="N1" s="4" t="s">
        <v>3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W1" s="3" t="s">
        <v>1</v>
      </c>
      <c r="X1" s="4" t="s">
        <v>15</v>
      </c>
      <c r="Y1" s="4" t="s">
        <v>16</v>
      </c>
      <c r="Z1" s="4" t="s">
        <v>11</v>
      </c>
      <c r="AA1" s="4" t="s">
        <v>8</v>
      </c>
      <c r="AB1" s="4" t="s">
        <v>17</v>
      </c>
      <c r="AC1" s="4" t="s">
        <v>18</v>
      </c>
      <c r="AD1" s="3" t="s">
        <v>14</v>
      </c>
      <c r="AG1" s="3" t="s">
        <v>1</v>
      </c>
      <c r="AH1" s="4" t="s">
        <v>19</v>
      </c>
      <c r="AI1" s="4" t="s">
        <v>10</v>
      </c>
      <c r="AJ1" t="s">
        <v>11</v>
      </c>
      <c r="AK1" t="s">
        <v>8</v>
      </c>
      <c r="AL1" t="s">
        <v>17</v>
      </c>
      <c r="AM1" t="s">
        <v>12</v>
      </c>
      <c r="AN1" t="s">
        <v>14</v>
      </c>
    </row>
    <row r="2" spans="1:40">
      <c r="A2">
        <v>1</v>
      </c>
      <c r="B2" t="s">
        <v>20</v>
      </c>
      <c r="C2">
        <v>56.5</v>
      </c>
      <c r="D2">
        <v>34</v>
      </c>
      <c r="E2">
        <f>C2*D2</f>
        <v>1921</v>
      </c>
      <c r="F2">
        <v>200</v>
      </c>
      <c r="G2">
        <v>-126</v>
      </c>
      <c r="H2">
        <f>SUM(E2:G2)</f>
        <v>1995</v>
      </c>
      <c r="K2">
        <v>1</v>
      </c>
      <c r="L2" t="s">
        <v>20</v>
      </c>
      <c r="M2">
        <v>66.85</v>
      </c>
      <c r="N2">
        <v>24</v>
      </c>
      <c r="O2">
        <f>H2</f>
        <v>1995</v>
      </c>
      <c r="P2">
        <v>2000</v>
      </c>
      <c r="Q2">
        <f>O2-P2</f>
        <v>-5</v>
      </c>
      <c r="R2">
        <f>M2*N2</f>
        <v>1604.4</v>
      </c>
      <c r="S2">
        <v>100</v>
      </c>
      <c r="T2">
        <f>Q2+R2+S2</f>
        <v>1699.4</v>
      </c>
      <c r="W2" t="s">
        <v>20</v>
      </c>
      <c r="X2">
        <f>T2</f>
        <v>1699.4</v>
      </c>
      <c r="Z2">
        <f>X2-Y2</f>
        <v>1699.4</v>
      </c>
      <c r="AA2">
        <v>69.3</v>
      </c>
      <c r="AB2">
        <v>17</v>
      </c>
      <c r="AC2">
        <f>AA2*AB2</f>
        <v>1178.1</v>
      </c>
      <c r="AD2">
        <f>Z2+AC2</f>
        <v>2877.5</v>
      </c>
      <c r="AG2" t="s">
        <v>20</v>
      </c>
      <c r="AH2">
        <v>2877.5</v>
      </c>
      <c r="AI2">
        <v>2877</v>
      </c>
      <c r="AJ2">
        <f>AH2-AI2</f>
        <v>0.5</v>
      </c>
      <c r="AK2">
        <v>53.3</v>
      </c>
      <c r="AL2">
        <v>36</v>
      </c>
      <c r="AM2">
        <f>AK2*AL2</f>
        <v>1918.8</v>
      </c>
      <c r="AN2">
        <f>AM2+AJ2</f>
        <v>1919.3</v>
      </c>
    </row>
    <row r="3" spans="1:40">
      <c r="A3">
        <v>2</v>
      </c>
      <c r="B3" t="s">
        <v>21</v>
      </c>
      <c r="C3">
        <v>56.5</v>
      </c>
      <c r="D3">
        <v>34</v>
      </c>
      <c r="E3">
        <f t="shared" ref="E3:E65" si="0">C3*D3</f>
        <v>1921</v>
      </c>
      <c r="F3">
        <v>400</v>
      </c>
      <c r="G3">
        <v>1222.5</v>
      </c>
      <c r="H3">
        <f t="shared" ref="H3:H66" si="1">SUM(E3:G3)</f>
        <v>3543.5</v>
      </c>
      <c r="K3">
        <v>2</v>
      </c>
      <c r="L3" t="s">
        <v>21</v>
      </c>
      <c r="M3">
        <v>66.85</v>
      </c>
      <c r="N3">
        <v>40</v>
      </c>
      <c r="O3">
        <f t="shared" ref="O3:O34" si="2">H3</f>
        <v>3543.5</v>
      </c>
      <c r="P3">
        <v>2490</v>
      </c>
      <c r="Q3">
        <f t="shared" ref="Q3:Q34" si="3">O3-P3</f>
        <v>1053.5</v>
      </c>
      <c r="R3">
        <f t="shared" ref="R3:R34" si="4">M3*N3</f>
        <v>2674</v>
      </c>
      <c r="S3">
        <v>100</v>
      </c>
      <c r="T3">
        <f t="shared" ref="T3:T34" si="5">Q3+R3+S3</f>
        <v>3827.5</v>
      </c>
      <c r="W3" t="s">
        <v>21</v>
      </c>
      <c r="X3">
        <f t="shared" ref="X3:X34" si="6">T3</f>
        <v>3827.5</v>
      </c>
      <c r="Z3">
        <f t="shared" ref="Z3:Z34" si="7">X3-Y3</f>
        <v>3827.5</v>
      </c>
      <c r="AA3">
        <v>69.3</v>
      </c>
      <c r="AB3">
        <v>19</v>
      </c>
      <c r="AC3">
        <f t="shared" ref="AC3:AC34" si="8">AA3*AB3</f>
        <v>1316.7</v>
      </c>
      <c r="AD3">
        <f t="shared" ref="AD3:AD34" si="9">Z3+AC3</f>
        <v>5144.2</v>
      </c>
      <c r="AG3" t="s">
        <v>21</v>
      </c>
      <c r="AH3">
        <v>5144.2</v>
      </c>
      <c r="AI3">
        <v>0</v>
      </c>
      <c r="AJ3">
        <f t="shared" ref="AJ3:AJ34" si="10">AH3-AI3</f>
        <v>5144.2</v>
      </c>
      <c r="AK3">
        <v>53.3</v>
      </c>
      <c r="AL3">
        <v>32</v>
      </c>
      <c r="AM3">
        <f t="shared" ref="AM3:AM34" si="11">AK3*AL3</f>
        <v>1705.6</v>
      </c>
      <c r="AN3">
        <f t="shared" ref="AN3:AN34" si="12">AM3+AJ3</f>
        <v>6849.8</v>
      </c>
    </row>
    <row r="4" spans="1:40">
      <c r="A4">
        <v>3</v>
      </c>
      <c r="B4" t="s">
        <v>22</v>
      </c>
      <c r="C4">
        <v>56.5</v>
      </c>
      <c r="D4">
        <v>49</v>
      </c>
      <c r="E4">
        <f t="shared" si="0"/>
        <v>2768.5</v>
      </c>
      <c r="F4">
        <v>400</v>
      </c>
      <c r="G4">
        <v>21</v>
      </c>
      <c r="H4">
        <f t="shared" si="1"/>
        <v>3189.5</v>
      </c>
      <c r="K4">
        <v>3</v>
      </c>
      <c r="L4" t="s">
        <v>22</v>
      </c>
      <c r="M4">
        <v>66.85</v>
      </c>
      <c r="N4">
        <v>37</v>
      </c>
      <c r="O4">
        <f t="shared" si="2"/>
        <v>3189.5</v>
      </c>
      <c r="P4">
        <v>3190</v>
      </c>
      <c r="Q4">
        <f t="shared" si="3"/>
        <v>-0.5</v>
      </c>
      <c r="R4">
        <f t="shared" si="4"/>
        <v>2473.45</v>
      </c>
      <c r="S4">
        <v>100</v>
      </c>
      <c r="T4">
        <f t="shared" si="5"/>
        <v>2572.95</v>
      </c>
      <c r="W4" t="s">
        <v>22</v>
      </c>
      <c r="X4">
        <f t="shared" si="6"/>
        <v>2572.95</v>
      </c>
      <c r="Z4">
        <f t="shared" si="7"/>
        <v>2572.95</v>
      </c>
      <c r="AA4">
        <v>69.3</v>
      </c>
      <c r="AB4">
        <v>11</v>
      </c>
      <c r="AC4">
        <f t="shared" si="8"/>
        <v>762.3</v>
      </c>
      <c r="AD4">
        <f t="shared" si="9"/>
        <v>3335.25</v>
      </c>
      <c r="AG4" t="s">
        <v>22</v>
      </c>
      <c r="AH4">
        <v>3335.25</v>
      </c>
      <c r="AI4">
        <v>3340</v>
      </c>
      <c r="AJ4">
        <f t="shared" si="10"/>
        <v>-4.75</v>
      </c>
      <c r="AK4">
        <v>53.3</v>
      </c>
      <c r="AL4">
        <v>41</v>
      </c>
      <c r="AM4">
        <f t="shared" si="11"/>
        <v>2185.3</v>
      </c>
      <c r="AN4">
        <f t="shared" si="12"/>
        <v>2180.55</v>
      </c>
    </row>
    <row r="5" spans="1:40">
      <c r="A5">
        <v>4</v>
      </c>
      <c r="B5" t="s">
        <v>23</v>
      </c>
      <c r="C5">
        <v>56.5</v>
      </c>
      <c r="D5">
        <v>30</v>
      </c>
      <c r="E5">
        <f t="shared" si="0"/>
        <v>1695</v>
      </c>
      <c r="F5">
        <v>100</v>
      </c>
      <c r="G5">
        <v>1011.5</v>
      </c>
      <c r="H5">
        <f t="shared" si="1"/>
        <v>2806.5</v>
      </c>
      <c r="K5">
        <v>4</v>
      </c>
      <c r="L5" t="s">
        <v>23</v>
      </c>
      <c r="M5">
        <v>66.85</v>
      </c>
      <c r="N5">
        <v>34</v>
      </c>
      <c r="O5">
        <f t="shared" si="2"/>
        <v>2806.5</v>
      </c>
      <c r="P5">
        <v>2500</v>
      </c>
      <c r="Q5">
        <f t="shared" si="3"/>
        <v>306.5</v>
      </c>
      <c r="R5">
        <f t="shared" si="4"/>
        <v>2272.9</v>
      </c>
      <c r="S5">
        <v>100</v>
      </c>
      <c r="T5">
        <f t="shared" si="5"/>
        <v>2679.4</v>
      </c>
      <c r="W5" t="s">
        <v>23</v>
      </c>
      <c r="X5">
        <f t="shared" si="6"/>
        <v>2679.4</v>
      </c>
      <c r="Y5">
        <v>2000</v>
      </c>
      <c r="Z5">
        <f t="shared" si="7"/>
        <v>679.4</v>
      </c>
      <c r="AA5">
        <v>69.3</v>
      </c>
      <c r="AB5">
        <v>19</v>
      </c>
      <c r="AC5">
        <f t="shared" si="8"/>
        <v>1316.7</v>
      </c>
      <c r="AD5">
        <f t="shared" si="9"/>
        <v>1996.1</v>
      </c>
      <c r="AG5" t="s">
        <v>23</v>
      </c>
      <c r="AH5">
        <v>1996.1</v>
      </c>
      <c r="AI5">
        <v>2000</v>
      </c>
      <c r="AJ5">
        <f t="shared" si="10"/>
        <v>-3.90000000000009</v>
      </c>
      <c r="AK5">
        <v>53.3</v>
      </c>
      <c r="AL5">
        <v>30</v>
      </c>
      <c r="AM5">
        <f t="shared" si="11"/>
        <v>1599</v>
      </c>
      <c r="AN5">
        <f t="shared" si="12"/>
        <v>1595.1</v>
      </c>
    </row>
    <row r="6" spans="1:40">
      <c r="A6">
        <v>5</v>
      </c>
      <c r="B6" t="s">
        <v>24</v>
      </c>
      <c r="C6">
        <v>56.5</v>
      </c>
      <c r="D6">
        <v>16</v>
      </c>
      <c r="E6">
        <f t="shared" si="0"/>
        <v>904</v>
      </c>
      <c r="F6">
        <v>100</v>
      </c>
      <c r="G6">
        <v>188</v>
      </c>
      <c r="H6">
        <f t="shared" si="1"/>
        <v>1192</v>
      </c>
      <c r="K6">
        <v>5</v>
      </c>
      <c r="L6" t="s">
        <v>24</v>
      </c>
      <c r="M6">
        <v>66.85</v>
      </c>
      <c r="N6">
        <v>6</v>
      </c>
      <c r="O6">
        <f t="shared" si="2"/>
        <v>1192</v>
      </c>
      <c r="Q6">
        <f t="shared" si="3"/>
        <v>1192</v>
      </c>
      <c r="R6">
        <f t="shared" si="4"/>
        <v>401.1</v>
      </c>
      <c r="S6">
        <v>100</v>
      </c>
      <c r="T6">
        <f t="shared" si="5"/>
        <v>1693.1</v>
      </c>
      <c r="W6" t="s">
        <v>24</v>
      </c>
      <c r="X6">
        <f t="shared" si="6"/>
        <v>1693.1</v>
      </c>
      <c r="Z6">
        <f t="shared" si="7"/>
        <v>1693.1</v>
      </c>
      <c r="AA6">
        <v>69.3</v>
      </c>
      <c r="AB6">
        <v>11</v>
      </c>
      <c r="AC6">
        <f t="shared" si="8"/>
        <v>762.3</v>
      </c>
      <c r="AD6">
        <f t="shared" si="9"/>
        <v>2455.4</v>
      </c>
      <c r="AG6" t="s">
        <v>24</v>
      </c>
      <c r="AH6">
        <v>2455.4</v>
      </c>
      <c r="AI6">
        <v>1000</v>
      </c>
      <c r="AJ6">
        <f t="shared" si="10"/>
        <v>1455.4</v>
      </c>
      <c r="AK6">
        <v>53.3</v>
      </c>
      <c r="AL6">
        <v>33</v>
      </c>
      <c r="AM6">
        <f t="shared" si="11"/>
        <v>1758.9</v>
      </c>
      <c r="AN6">
        <f t="shared" si="12"/>
        <v>3214.3</v>
      </c>
    </row>
    <row r="7" spans="1:40">
      <c r="A7">
        <v>6</v>
      </c>
      <c r="B7" t="s">
        <v>25</v>
      </c>
      <c r="C7">
        <v>56.5</v>
      </c>
      <c r="D7">
        <v>32</v>
      </c>
      <c r="E7">
        <f t="shared" si="0"/>
        <v>1808</v>
      </c>
      <c r="F7">
        <v>350</v>
      </c>
      <c r="G7">
        <v>2964</v>
      </c>
      <c r="H7">
        <f t="shared" si="1"/>
        <v>5122</v>
      </c>
      <c r="K7">
        <v>6</v>
      </c>
      <c r="L7" t="s">
        <v>25</v>
      </c>
      <c r="M7">
        <v>66.85</v>
      </c>
      <c r="N7">
        <v>41</v>
      </c>
      <c r="O7">
        <f t="shared" si="2"/>
        <v>5122</v>
      </c>
      <c r="P7">
        <v>1500</v>
      </c>
      <c r="Q7">
        <f t="shared" si="3"/>
        <v>3622</v>
      </c>
      <c r="R7">
        <f t="shared" si="4"/>
        <v>2740.85</v>
      </c>
      <c r="S7">
        <v>100</v>
      </c>
      <c r="T7">
        <f t="shared" si="5"/>
        <v>6462.85</v>
      </c>
      <c r="W7" t="s">
        <v>25</v>
      </c>
      <c r="X7">
        <f t="shared" si="6"/>
        <v>6462.85</v>
      </c>
      <c r="Y7">
        <v>2000</v>
      </c>
      <c r="Z7">
        <f t="shared" si="7"/>
        <v>4462.85</v>
      </c>
      <c r="AA7">
        <v>69.3</v>
      </c>
      <c r="AB7">
        <v>22</v>
      </c>
      <c r="AC7">
        <f t="shared" si="8"/>
        <v>1524.6</v>
      </c>
      <c r="AD7">
        <f t="shared" si="9"/>
        <v>5987.45</v>
      </c>
      <c r="AG7" t="s">
        <v>25</v>
      </c>
      <c r="AH7">
        <v>5987.45</v>
      </c>
      <c r="AI7">
        <v>0</v>
      </c>
      <c r="AJ7">
        <f t="shared" si="10"/>
        <v>5987.45</v>
      </c>
      <c r="AK7">
        <v>53.3</v>
      </c>
      <c r="AL7">
        <v>40</v>
      </c>
      <c r="AM7">
        <f t="shared" si="11"/>
        <v>2132</v>
      </c>
      <c r="AN7">
        <f t="shared" si="12"/>
        <v>8119.45</v>
      </c>
    </row>
    <row r="8" spans="1:40">
      <c r="A8">
        <v>7</v>
      </c>
      <c r="B8" t="s">
        <v>26</v>
      </c>
      <c r="C8">
        <v>56.5</v>
      </c>
      <c r="D8">
        <v>39</v>
      </c>
      <c r="E8">
        <f t="shared" si="0"/>
        <v>2203.5</v>
      </c>
      <c r="F8">
        <v>100</v>
      </c>
      <c r="G8">
        <v>824.5</v>
      </c>
      <c r="H8">
        <f t="shared" si="1"/>
        <v>3128</v>
      </c>
      <c r="K8">
        <v>7</v>
      </c>
      <c r="L8" t="s">
        <v>27</v>
      </c>
      <c r="M8">
        <v>66.85</v>
      </c>
      <c r="N8">
        <v>45</v>
      </c>
      <c r="O8">
        <f t="shared" si="2"/>
        <v>3128</v>
      </c>
      <c r="P8">
        <v>3000</v>
      </c>
      <c r="Q8">
        <f t="shared" si="3"/>
        <v>128</v>
      </c>
      <c r="R8">
        <f t="shared" si="4"/>
        <v>3008.25</v>
      </c>
      <c r="S8">
        <v>100</v>
      </c>
      <c r="T8">
        <f t="shared" si="5"/>
        <v>3236.25</v>
      </c>
      <c r="W8" t="s">
        <v>27</v>
      </c>
      <c r="X8">
        <f t="shared" si="6"/>
        <v>3236.25</v>
      </c>
      <c r="Y8">
        <v>3000</v>
      </c>
      <c r="Z8">
        <f t="shared" si="7"/>
        <v>236.25</v>
      </c>
      <c r="AA8">
        <v>69.3</v>
      </c>
      <c r="AB8">
        <v>28</v>
      </c>
      <c r="AC8">
        <f t="shared" si="8"/>
        <v>1940.4</v>
      </c>
      <c r="AD8">
        <f t="shared" si="9"/>
        <v>2176.65</v>
      </c>
      <c r="AG8" t="s">
        <v>27</v>
      </c>
      <c r="AH8">
        <v>2176.65</v>
      </c>
      <c r="AI8">
        <v>2000</v>
      </c>
      <c r="AJ8">
        <f t="shared" si="10"/>
        <v>176.65</v>
      </c>
      <c r="AK8">
        <v>53.3</v>
      </c>
      <c r="AL8">
        <v>51</v>
      </c>
      <c r="AM8">
        <f t="shared" si="11"/>
        <v>2718.3</v>
      </c>
      <c r="AN8">
        <f t="shared" si="12"/>
        <v>2894.95</v>
      </c>
    </row>
    <row r="9" spans="1:40">
      <c r="A9">
        <v>8</v>
      </c>
      <c r="B9" t="s">
        <v>28</v>
      </c>
      <c r="C9">
        <v>56.5</v>
      </c>
      <c r="D9">
        <v>40</v>
      </c>
      <c r="E9">
        <f t="shared" si="0"/>
        <v>2260</v>
      </c>
      <c r="F9">
        <v>100</v>
      </c>
      <c r="G9">
        <v>2148.5</v>
      </c>
      <c r="H9">
        <f t="shared" si="1"/>
        <v>4508.5</v>
      </c>
      <c r="K9">
        <v>8</v>
      </c>
      <c r="L9" t="s">
        <v>28</v>
      </c>
      <c r="M9">
        <v>66.85</v>
      </c>
      <c r="N9">
        <v>44</v>
      </c>
      <c r="O9">
        <f t="shared" si="2"/>
        <v>4508.5</v>
      </c>
      <c r="P9">
        <v>3600</v>
      </c>
      <c r="Q9">
        <f t="shared" si="3"/>
        <v>908.5</v>
      </c>
      <c r="R9">
        <f t="shared" si="4"/>
        <v>2941.4</v>
      </c>
      <c r="S9">
        <v>100</v>
      </c>
      <c r="T9">
        <f t="shared" si="5"/>
        <v>3949.9</v>
      </c>
      <c r="W9" t="s">
        <v>28</v>
      </c>
      <c r="X9">
        <f t="shared" si="6"/>
        <v>3949.9</v>
      </c>
      <c r="Y9">
        <v>3000</v>
      </c>
      <c r="Z9">
        <f t="shared" si="7"/>
        <v>949.9</v>
      </c>
      <c r="AA9">
        <v>69.3</v>
      </c>
      <c r="AB9">
        <v>22</v>
      </c>
      <c r="AC9">
        <f t="shared" si="8"/>
        <v>1524.6</v>
      </c>
      <c r="AD9">
        <f t="shared" si="9"/>
        <v>2474.5</v>
      </c>
      <c r="AG9" t="s">
        <v>28</v>
      </c>
      <c r="AH9">
        <v>2474.5</v>
      </c>
      <c r="AI9">
        <v>2000</v>
      </c>
      <c r="AJ9">
        <f t="shared" si="10"/>
        <v>474.5</v>
      </c>
      <c r="AK9">
        <v>53.3</v>
      </c>
      <c r="AL9">
        <v>48</v>
      </c>
      <c r="AM9">
        <f t="shared" si="11"/>
        <v>2558.4</v>
      </c>
      <c r="AN9">
        <f t="shared" si="12"/>
        <v>3032.9</v>
      </c>
    </row>
    <row r="10" spans="1:40">
      <c r="A10">
        <v>9</v>
      </c>
      <c r="B10" t="s">
        <v>29</v>
      </c>
      <c r="C10">
        <v>56.5</v>
      </c>
      <c r="D10">
        <v>32</v>
      </c>
      <c r="E10">
        <f t="shared" si="0"/>
        <v>1808</v>
      </c>
      <c r="F10">
        <v>400</v>
      </c>
      <c r="G10">
        <v>624.5</v>
      </c>
      <c r="H10">
        <f t="shared" si="1"/>
        <v>2832.5</v>
      </c>
      <c r="K10">
        <v>9</v>
      </c>
      <c r="L10" t="s">
        <v>29</v>
      </c>
      <c r="M10">
        <v>66.85</v>
      </c>
      <c r="N10">
        <v>24</v>
      </c>
      <c r="O10">
        <f t="shared" si="2"/>
        <v>2832.5</v>
      </c>
      <c r="P10">
        <v>2000</v>
      </c>
      <c r="Q10">
        <f t="shared" si="3"/>
        <v>832.5</v>
      </c>
      <c r="R10">
        <f t="shared" si="4"/>
        <v>1604.4</v>
      </c>
      <c r="S10">
        <v>100</v>
      </c>
      <c r="T10">
        <f t="shared" si="5"/>
        <v>2536.9</v>
      </c>
      <c r="W10" t="s">
        <v>29</v>
      </c>
      <c r="X10">
        <f t="shared" si="6"/>
        <v>2536.9</v>
      </c>
      <c r="Y10">
        <v>2000</v>
      </c>
      <c r="Z10">
        <f t="shared" si="7"/>
        <v>536.9</v>
      </c>
      <c r="AA10">
        <v>69.3</v>
      </c>
      <c r="AB10">
        <v>18</v>
      </c>
      <c r="AC10">
        <f t="shared" si="8"/>
        <v>1247.4</v>
      </c>
      <c r="AD10">
        <f t="shared" si="9"/>
        <v>1784.3</v>
      </c>
      <c r="AG10" t="s">
        <v>29</v>
      </c>
      <c r="AH10">
        <v>1784.3</v>
      </c>
      <c r="AI10">
        <v>1300</v>
      </c>
      <c r="AJ10">
        <f t="shared" si="10"/>
        <v>484.3</v>
      </c>
      <c r="AK10">
        <v>53.3</v>
      </c>
      <c r="AL10">
        <v>35</v>
      </c>
      <c r="AM10">
        <f t="shared" si="11"/>
        <v>1865.5</v>
      </c>
      <c r="AN10">
        <f t="shared" si="12"/>
        <v>2349.8</v>
      </c>
    </row>
    <row r="11" spans="1:40">
      <c r="A11">
        <v>10</v>
      </c>
      <c r="B11" t="s">
        <v>30</v>
      </c>
      <c r="C11">
        <v>56.5</v>
      </c>
      <c r="D11">
        <v>37</v>
      </c>
      <c r="E11">
        <f t="shared" si="0"/>
        <v>2090.5</v>
      </c>
      <c r="F11">
        <v>100</v>
      </c>
      <c r="G11">
        <v>137</v>
      </c>
      <c r="H11">
        <f t="shared" si="1"/>
        <v>2327.5</v>
      </c>
      <c r="K11">
        <v>10</v>
      </c>
      <c r="L11" t="s">
        <v>30</v>
      </c>
      <c r="M11">
        <v>66.85</v>
      </c>
      <c r="N11">
        <v>23</v>
      </c>
      <c r="O11">
        <f t="shared" si="2"/>
        <v>2327.5</v>
      </c>
      <c r="P11">
        <v>2000</v>
      </c>
      <c r="Q11">
        <f t="shared" si="3"/>
        <v>327.5</v>
      </c>
      <c r="R11">
        <f t="shared" si="4"/>
        <v>1537.55</v>
      </c>
      <c r="S11">
        <v>100</v>
      </c>
      <c r="T11">
        <f t="shared" si="5"/>
        <v>1965.05</v>
      </c>
      <c r="W11" t="s">
        <v>30</v>
      </c>
      <c r="X11">
        <f t="shared" si="6"/>
        <v>1965.05</v>
      </c>
      <c r="Z11">
        <f t="shared" si="7"/>
        <v>1965.05</v>
      </c>
      <c r="AA11">
        <v>69.3</v>
      </c>
      <c r="AB11">
        <v>11</v>
      </c>
      <c r="AC11">
        <f t="shared" si="8"/>
        <v>762.3</v>
      </c>
      <c r="AD11">
        <f t="shared" si="9"/>
        <v>2727.35</v>
      </c>
      <c r="AG11" t="s">
        <v>30</v>
      </c>
      <c r="AH11">
        <v>2727.35</v>
      </c>
      <c r="AI11">
        <v>2700</v>
      </c>
      <c r="AJ11">
        <f t="shared" si="10"/>
        <v>27.3499999999999</v>
      </c>
      <c r="AK11">
        <v>53.3</v>
      </c>
      <c r="AL11">
        <v>48</v>
      </c>
      <c r="AM11">
        <f t="shared" si="11"/>
        <v>2558.4</v>
      </c>
      <c r="AN11">
        <f t="shared" si="12"/>
        <v>2585.75</v>
      </c>
    </row>
    <row r="12" spans="1:40">
      <c r="A12">
        <v>11</v>
      </c>
      <c r="B12" t="s">
        <v>31</v>
      </c>
      <c r="C12">
        <v>56.5</v>
      </c>
      <c r="D12">
        <v>22</v>
      </c>
      <c r="E12">
        <f t="shared" si="0"/>
        <v>1243</v>
      </c>
      <c r="F12">
        <v>100</v>
      </c>
      <c r="G12">
        <v>4560</v>
      </c>
      <c r="H12">
        <f t="shared" si="1"/>
        <v>5903</v>
      </c>
      <c r="K12">
        <v>11</v>
      </c>
      <c r="L12" t="s">
        <v>31</v>
      </c>
      <c r="M12">
        <v>66.85</v>
      </c>
      <c r="N12">
        <v>14</v>
      </c>
      <c r="O12">
        <f t="shared" si="2"/>
        <v>5903</v>
      </c>
      <c r="P12">
        <v>0</v>
      </c>
      <c r="Q12">
        <f t="shared" si="3"/>
        <v>5903</v>
      </c>
      <c r="R12">
        <f t="shared" si="4"/>
        <v>935.9</v>
      </c>
      <c r="S12">
        <v>100</v>
      </c>
      <c r="T12">
        <f t="shared" si="5"/>
        <v>6938.9</v>
      </c>
      <c r="W12" t="s">
        <v>31</v>
      </c>
      <c r="X12">
        <f t="shared" si="6"/>
        <v>6938.9</v>
      </c>
      <c r="Z12">
        <f t="shared" si="7"/>
        <v>6938.9</v>
      </c>
      <c r="AA12">
        <v>69.3</v>
      </c>
      <c r="AB12">
        <v>14</v>
      </c>
      <c r="AC12">
        <f t="shared" si="8"/>
        <v>970.2</v>
      </c>
      <c r="AD12">
        <f t="shared" si="9"/>
        <v>7909.1</v>
      </c>
      <c r="AG12" t="s">
        <v>31</v>
      </c>
      <c r="AH12">
        <v>7909.1</v>
      </c>
      <c r="AI12">
        <v>2000</v>
      </c>
      <c r="AJ12">
        <f t="shared" si="10"/>
        <v>5909.1</v>
      </c>
      <c r="AK12">
        <v>53.3</v>
      </c>
      <c r="AL12">
        <v>37</v>
      </c>
      <c r="AM12">
        <f t="shared" si="11"/>
        <v>1972.1</v>
      </c>
      <c r="AN12">
        <f t="shared" si="12"/>
        <v>7881.2</v>
      </c>
    </row>
    <row r="13" spans="1:40">
      <c r="A13">
        <v>12</v>
      </c>
      <c r="B13" t="s">
        <v>32</v>
      </c>
      <c r="C13">
        <v>56.5</v>
      </c>
      <c r="D13">
        <v>26</v>
      </c>
      <c r="E13">
        <f t="shared" si="0"/>
        <v>1469</v>
      </c>
      <c r="F13">
        <v>400</v>
      </c>
      <c r="G13">
        <v>291.5</v>
      </c>
      <c r="H13">
        <f t="shared" si="1"/>
        <v>2160.5</v>
      </c>
      <c r="K13">
        <v>12</v>
      </c>
      <c r="L13" t="s">
        <v>32</v>
      </c>
      <c r="M13">
        <v>66.85</v>
      </c>
      <c r="N13">
        <v>32</v>
      </c>
      <c r="O13">
        <f t="shared" si="2"/>
        <v>2160.5</v>
      </c>
      <c r="P13">
        <v>1000</v>
      </c>
      <c r="Q13">
        <f t="shared" si="3"/>
        <v>1160.5</v>
      </c>
      <c r="R13">
        <f t="shared" si="4"/>
        <v>2139.2</v>
      </c>
      <c r="S13">
        <v>100</v>
      </c>
      <c r="T13">
        <f t="shared" si="5"/>
        <v>3399.7</v>
      </c>
      <c r="W13" t="s">
        <v>32</v>
      </c>
      <c r="X13">
        <f t="shared" si="6"/>
        <v>3399.7</v>
      </c>
      <c r="Y13">
        <v>2000</v>
      </c>
      <c r="Z13">
        <f t="shared" si="7"/>
        <v>1399.7</v>
      </c>
      <c r="AA13">
        <v>69.3</v>
      </c>
      <c r="AB13">
        <v>22</v>
      </c>
      <c r="AC13">
        <f t="shared" si="8"/>
        <v>1524.6</v>
      </c>
      <c r="AD13">
        <f t="shared" si="9"/>
        <v>2924.3</v>
      </c>
      <c r="AG13" t="s">
        <v>32</v>
      </c>
      <c r="AH13">
        <v>2924.3</v>
      </c>
      <c r="AI13">
        <v>2500</v>
      </c>
      <c r="AJ13">
        <f t="shared" si="10"/>
        <v>424.3</v>
      </c>
      <c r="AK13">
        <v>53.3</v>
      </c>
      <c r="AL13">
        <v>27</v>
      </c>
      <c r="AM13">
        <f t="shared" si="11"/>
        <v>1439.1</v>
      </c>
      <c r="AN13">
        <f t="shared" si="12"/>
        <v>1863.4</v>
      </c>
    </row>
    <row r="14" spans="1:40">
      <c r="A14">
        <v>13</v>
      </c>
      <c r="B14" t="s">
        <v>33</v>
      </c>
      <c r="C14">
        <v>56.5</v>
      </c>
      <c r="D14">
        <v>23</v>
      </c>
      <c r="E14">
        <f t="shared" si="0"/>
        <v>1299.5</v>
      </c>
      <c r="F14">
        <v>100</v>
      </c>
      <c r="G14">
        <v>429</v>
      </c>
      <c r="H14">
        <f t="shared" si="1"/>
        <v>1828.5</v>
      </c>
      <c r="K14">
        <v>13</v>
      </c>
      <c r="L14" t="s">
        <v>33</v>
      </c>
      <c r="M14">
        <v>66.85</v>
      </c>
      <c r="N14">
        <v>9</v>
      </c>
      <c r="O14">
        <f t="shared" si="2"/>
        <v>1828.5</v>
      </c>
      <c r="P14">
        <v>2000</v>
      </c>
      <c r="Q14">
        <f t="shared" si="3"/>
        <v>-171.5</v>
      </c>
      <c r="R14">
        <f t="shared" si="4"/>
        <v>601.65</v>
      </c>
      <c r="S14">
        <v>100</v>
      </c>
      <c r="T14">
        <f t="shared" si="5"/>
        <v>530.15</v>
      </c>
      <c r="W14" t="s">
        <v>33</v>
      </c>
      <c r="X14">
        <f t="shared" si="6"/>
        <v>530.15</v>
      </c>
      <c r="Z14">
        <f t="shared" si="7"/>
        <v>530.15</v>
      </c>
      <c r="AA14">
        <v>69.3</v>
      </c>
      <c r="AB14">
        <v>18</v>
      </c>
      <c r="AC14">
        <f t="shared" si="8"/>
        <v>1247.4</v>
      </c>
      <c r="AD14">
        <f t="shared" si="9"/>
        <v>1777.55</v>
      </c>
      <c r="AG14" t="s">
        <v>33</v>
      </c>
      <c r="AH14">
        <v>1777.55</v>
      </c>
      <c r="AI14">
        <v>2500</v>
      </c>
      <c r="AJ14">
        <f t="shared" si="10"/>
        <v>-722.45</v>
      </c>
      <c r="AK14">
        <v>53.3</v>
      </c>
      <c r="AL14">
        <v>27</v>
      </c>
      <c r="AM14">
        <f t="shared" si="11"/>
        <v>1439.1</v>
      </c>
      <c r="AN14">
        <f t="shared" si="12"/>
        <v>716.65</v>
      </c>
    </row>
    <row r="15" spans="1:40">
      <c r="A15">
        <v>14</v>
      </c>
      <c r="B15" t="s">
        <v>34</v>
      </c>
      <c r="C15">
        <v>56.5</v>
      </c>
      <c r="D15">
        <v>25</v>
      </c>
      <c r="E15">
        <f t="shared" si="0"/>
        <v>1412.5</v>
      </c>
      <c r="F15">
        <v>400</v>
      </c>
      <c r="G15">
        <v>1234</v>
      </c>
      <c r="H15">
        <f t="shared" si="1"/>
        <v>3046.5</v>
      </c>
      <c r="K15">
        <v>14</v>
      </c>
      <c r="L15" t="s">
        <v>34</v>
      </c>
      <c r="M15">
        <v>66.85</v>
      </c>
      <c r="N15">
        <v>31</v>
      </c>
      <c r="O15">
        <f t="shared" si="2"/>
        <v>3046.5</v>
      </c>
      <c r="P15">
        <v>2000</v>
      </c>
      <c r="Q15">
        <f t="shared" si="3"/>
        <v>1046.5</v>
      </c>
      <c r="R15">
        <f t="shared" si="4"/>
        <v>2072.35</v>
      </c>
      <c r="S15">
        <v>100</v>
      </c>
      <c r="T15">
        <f t="shared" si="5"/>
        <v>3218.85</v>
      </c>
      <c r="W15" t="s">
        <v>34</v>
      </c>
      <c r="X15">
        <f t="shared" si="6"/>
        <v>3218.85</v>
      </c>
      <c r="Z15">
        <f t="shared" si="7"/>
        <v>3218.85</v>
      </c>
      <c r="AA15">
        <v>69.3</v>
      </c>
      <c r="AB15">
        <v>11</v>
      </c>
      <c r="AC15">
        <f t="shared" si="8"/>
        <v>762.3</v>
      </c>
      <c r="AD15">
        <f t="shared" si="9"/>
        <v>3981.15</v>
      </c>
      <c r="AG15" t="s">
        <v>34</v>
      </c>
      <c r="AH15">
        <v>3981.15</v>
      </c>
      <c r="AI15">
        <v>0</v>
      </c>
      <c r="AJ15">
        <f t="shared" si="10"/>
        <v>3981.15</v>
      </c>
      <c r="AK15">
        <v>53.3</v>
      </c>
      <c r="AL15">
        <v>19</v>
      </c>
      <c r="AM15">
        <f t="shared" si="11"/>
        <v>1012.7</v>
      </c>
      <c r="AN15">
        <f t="shared" si="12"/>
        <v>4993.85</v>
      </c>
    </row>
    <row r="16" spans="1:40">
      <c r="A16">
        <v>15</v>
      </c>
      <c r="B16" t="s">
        <v>35</v>
      </c>
      <c r="C16">
        <v>56.5</v>
      </c>
      <c r="D16">
        <v>40</v>
      </c>
      <c r="E16">
        <f t="shared" si="0"/>
        <v>2260</v>
      </c>
      <c r="F16">
        <v>100</v>
      </c>
      <c r="G16">
        <v>119</v>
      </c>
      <c r="H16">
        <f t="shared" si="1"/>
        <v>2479</v>
      </c>
      <c r="K16">
        <v>15</v>
      </c>
      <c r="L16" t="s">
        <v>35</v>
      </c>
      <c r="M16">
        <v>66.85</v>
      </c>
      <c r="N16">
        <v>31</v>
      </c>
      <c r="O16">
        <f t="shared" si="2"/>
        <v>2479</v>
      </c>
      <c r="P16">
        <v>2300</v>
      </c>
      <c r="Q16">
        <f t="shared" si="3"/>
        <v>179</v>
      </c>
      <c r="R16">
        <f t="shared" si="4"/>
        <v>2072.35</v>
      </c>
      <c r="S16">
        <v>100</v>
      </c>
      <c r="T16">
        <f t="shared" si="5"/>
        <v>2351.35</v>
      </c>
      <c r="W16" t="s">
        <v>35</v>
      </c>
      <c r="X16">
        <f t="shared" si="6"/>
        <v>2351.35</v>
      </c>
      <c r="Z16">
        <f t="shared" si="7"/>
        <v>2351.35</v>
      </c>
      <c r="AA16">
        <v>69.3</v>
      </c>
      <c r="AB16">
        <v>21</v>
      </c>
      <c r="AC16">
        <f t="shared" si="8"/>
        <v>1455.3</v>
      </c>
      <c r="AD16">
        <f t="shared" si="9"/>
        <v>3806.65</v>
      </c>
      <c r="AG16" t="s">
        <v>35</v>
      </c>
      <c r="AH16">
        <v>3806.65</v>
      </c>
      <c r="AI16">
        <v>3500</v>
      </c>
      <c r="AJ16">
        <f t="shared" si="10"/>
        <v>306.65</v>
      </c>
      <c r="AK16">
        <v>53.3</v>
      </c>
      <c r="AL16">
        <v>40</v>
      </c>
      <c r="AM16">
        <f t="shared" si="11"/>
        <v>2132</v>
      </c>
      <c r="AN16">
        <f t="shared" si="12"/>
        <v>2438.65</v>
      </c>
    </row>
    <row r="17" spans="1:40">
      <c r="A17">
        <v>16</v>
      </c>
      <c r="B17" t="s">
        <v>36</v>
      </c>
      <c r="C17">
        <v>56.5</v>
      </c>
      <c r="D17">
        <v>52</v>
      </c>
      <c r="E17">
        <f t="shared" si="0"/>
        <v>2938</v>
      </c>
      <c r="F17">
        <v>100</v>
      </c>
      <c r="G17">
        <v>758</v>
      </c>
      <c r="H17">
        <f t="shared" si="1"/>
        <v>3796</v>
      </c>
      <c r="K17">
        <v>16</v>
      </c>
      <c r="L17" t="s">
        <v>37</v>
      </c>
      <c r="M17">
        <v>66.85</v>
      </c>
      <c r="N17">
        <v>40</v>
      </c>
      <c r="O17">
        <f t="shared" si="2"/>
        <v>3796</v>
      </c>
      <c r="P17">
        <v>3000</v>
      </c>
      <c r="Q17">
        <f t="shared" si="3"/>
        <v>796</v>
      </c>
      <c r="R17">
        <f t="shared" si="4"/>
        <v>2674</v>
      </c>
      <c r="S17">
        <v>100</v>
      </c>
      <c r="T17">
        <f t="shared" si="5"/>
        <v>3570</v>
      </c>
      <c r="W17" t="s">
        <v>37</v>
      </c>
      <c r="X17">
        <f t="shared" si="6"/>
        <v>3570</v>
      </c>
      <c r="Y17">
        <v>2000</v>
      </c>
      <c r="Z17">
        <f t="shared" si="7"/>
        <v>1570</v>
      </c>
      <c r="AA17">
        <v>69.3</v>
      </c>
      <c r="AB17">
        <v>24</v>
      </c>
      <c r="AC17">
        <f t="shared" si="8"/>
        <v>1663.2</v>
      </c>
      <c r="AD17">
        <f t="shared" si="9"/>
        <v>3233.2</v>
      </c>
      <c r="AG17" t="s">
        <v>37</v>
      </c>
      <c r="AH17">
        <v>3233.2</v>
      </c>
      <c r="AI17">
        <v>2800</v>
      </c>
      <c r="AJ17">
        <f t="shared" si="10"/>
        <v>433.2</v>
      </c>
      <c r="AK17">
        <v>53.3</v>
      </c>
      <c r="AL17">
        <v>53</v>
      </c>
      <c r="AM17">
        <f t="shared" si="11"/>
        <v>2824.9</v>
      </c>
      <c r="AN17">
        <f t="shared" si="12"/>
        <v>3258.1</v>
      </c>
    </row>
    <row r="18" spans="1:40">
      <c r="A18">
        <v>17</v>
      </c>
      <c r="B18" t="s">
        <v>38</v>
      </c>
      <c r="C18">
        <v>56.5</v>
      </c>
      <c r="D18">
        <v>38</v>
      </c>
      <c r="E18">
        <f t="shared" si="0"/>
        <v>2147</v>
      </c>
      <c r="F18">
        <v>100</v>
      </c>
      <c r="G18">
        <v>319</v>
      </c>
      <c r="H18">
        <f t="shared" si="1"/>
        <v>2566</v>
      </c>
      <c r="K18">
        <v>17</v>
      </c>
      <c r="L18" t="s">
        <v>38</v>
      </c>
      <c r="M18">
        <v>66.85</v>
      </c>
      <c r="N18">
        <v>35</v>
      </c>
      <c r="O18">
        <f t="shared" si="2"/>
        <v>2566</v>
      </c>
      <c r="P18">
        <v>3000</v>
      </c>
      <c r="Q18">
        <f t="shared" si="3"/>
        <v>-434</v>
      </c>
      <c r="R18">
        <f t="shared" si="4"/>
        <v>2339.75</v>
      </c>
      <c r="S18">
        <v>100</v>
      </c>
      <c r="T18">
        <f t="shared" si="5"/>
        <v>2005.75</v>
      </c>
      <c r="W18" t="s">
        <v>38</v>
      </c>
      <c r="X18">
        <f t="shared" si="6"/>
        <v>2005.75</v>
      </c>
      <c r="Y18">
        <v>2000</v>
      </c>
      <c r="Z18">
        <f t="shared" si="7"/>
        <v>5.75</v>
      </c>
      <c r="AA18">
        <v>69.3</v>
      </c>
      <c r="AB18">
        <v>21</v>
      </c>
      <c r="AC18">
        <f t="shared" si="8"/>
        <v>1455.3</v>
      </c>
      <c r="AD18">
        <f t="shared" si="9"/>
        <v>1461.05</v>
      </c>
      <c r="AG18" t="s">
        <v>38</v>
      </c>
      <c r="AH18">
        <v>1461.05</v>
      </c>
      <c r="AI18">
        <v>1500</v>
      </c>
      <c r="AJ18">
        <f t="shared" si="10"/>
        <v>-38.95</v>
      </c>
      <c r="AK18">
        <v>53.3</v>
      </c>
      <c r="AL18">
        <v>44</v>
      </c>
      <c r="AM18">
        <f t="shared" si="11"/>
        <v>2345.2</v>
      </c>
      <c r="AN18">
        <f t="shared" si="12"/>
        <v>2306.25</v>
      </c>
    </row>
    <row r="19" spans="1:40">
      <c r="A19">
        <v>18</v>
      </c>
      <c r="B19" t="s">
        <v>39</v>
      </c>
      <c r="C19">
        <v>56.5</v>
      </c>
      <c r="D19">
        <v>54</v>
      </c>
      <c r="E19">
        <f t="shared" si="0"/>
        <v>3051</v>
      </c>
      <c r="F19">
        <v>100</v>
      </c>
      <c r="G19">
        <v>519.5</v>
      </c>
      <c r="H19">
        <f t="shared" si="1"/>
        <v>3670.5</v>
      </c>
      <c r="K19">
        <v>18</v>
      </c>
      <c r="L19" t="s">
        <v>39</v>
      </c>
      <c r="M19">
        <v>66.85</v>
      </c>
      <c r="N19">
        <v>51</v>
      </c>
      <c r="O19">
        <f t="shared" si="2"/>
        <v>3670.5</v>
      </c>
      <c r="P19">
        <v>3000</v>
      </c>
      <c r="Q19">
        <f t="shared" si="3"/>
        <v>670.5</v>
      </c>
      <c r="R19">
        <f t="shared" si="4"/>
        <v>3409.35</v>
      </c>
      <c r="S19">
        <v>100</v>
      </c>
      <c r="T19">
        <f t="shared" si="5"/>
        <v>4179.85</v>
      </c>
      <c r="W19" t="s">
        <v>39</v>
      </c>
      <c r="X19">
        <f t="shared" si="6"/>
        <v>4179.85</v>
      </c>
      <c r="Z19">
        <f t="shared" si="7"/>
        <v>4179.85</v>
      </c>
      <c r="AA19">
        <v>69.3</v>
      </c>
      <c r="AB19">
        <v>21</v>
      </c>
      <c r="AC19">
        <f t="shared" si="8"/>
        <v>1455.3</v>
      </c>
      <c r="AD19">
        <f t="shared" si="9"/>
        <v>5635.15</v>
      </c>
      <c r="AG19" t="s">
        <v>39</v>
      </c>
      <c r="AH19">
        <v>5635.15</v>
      </c>
      <c r="AI19">
        <v>5130</v>
      </c>
      <c r="AJ19">
        <f t="shared" si="10"/>
        <v>505.15</v>
      </c>
      <c r="AK19">
        <v>53.3</v>
      </c>
      <c r="AL19">
        <v>56</v>
      </c>
      <c r="AM19">
        <f t="shared" si="11"/>
        <v>2984.8</v>
      </c>
      <c r="AN19">
        <f t="shared" si="12"/>
        <v>3489.95</v>
      </c>
    </row>
    <row r="20" spans="1:40">
      <c r="A20">
        <v>19</v>
      </c>
      <c r="B20" t="s">
        <v>40</v>
      </c>
      <c r="C20">
        <v>56.5</v>
      </c>
      <c r="D20">
        <v>33</v>
      </c>
      <c r="E20">
        <f t="shared" si="0"/>
        <v>1864.5</v>
      </c>
      <c r="F20">
        <v>100</v>
      </c>
      <c r="G20">
        <v>-47.5</v>
      </c>
      <c r="H20">
        <f t="shared" si="1"/>
        <v>1917</v>
      </c>
      <c r="K20">
        <v>19</v>
      </c>
      <c r="L20" t="s">
        <v>40</v>
      </c>
      <c r="M20">
        <v>66.85</v>
      </c>
      <c r="N20">
        <v>31</v>
      </c>
      <c r="O20">
        <f t="shared" si="2"/>
        <v>1917</v>
      </c>
      <c r="P20">
        <v>2000</v>
      </c>
      <c r="Q20">
        <f t="shared" si="3"/>
        <v>-83</v>
      </c>
      <c r="R20">
        <f t="shared" si="4"/>
        <v>2072.35</v>
      </c>
      <c r="S20">
        <v>100</v>
      </c>
      <c r="T20">
        <f t="shared" si="5"/>
        <v>2089.35</v>
      </c>
      <c r="W20" t="s">
        <v>40</v>
      </c>
      <c r="X20">
        <f t="shared" si="6"/>
        <v>2089.35</v>
      </c>
      <c r="Z20">
        <f t="shared" si="7"/>
        <v>2089.35</v>
      </c>
      <c r="AA20">
        <v>69.3</v>
      </c>
      <c r="AB20">
        <v>11</v>
      </c>
      <c r="AC20">
        <f t="shared" si="8"/>
        <v>762.3</v>
      </c>
      <c r="AD20">
        <f t="shared" si="9"/>
        <v>2851.65</v>
      </c>
      <c r="AG20" t="s">
        <v>40</v>
      </c>
      <c r="AH20">
        <v>2851.65</v>
      </c>
      <c r="AI20">
        <v>3000</v>
      </c>
      <c r="AJ20">
        <f t="shared" si="10"/>
        <v>-148.35</v>
      </c>
      <c r="AK20">
        <v>53.3</v>
      </c>
      <c r="AL20">
        <v>43</v>
      </c>
      <c r="AM20">
        <f t="shared" si="11"/>
        <v>2291.9</v>
      </c>
      <c r="AN20">
        <f t="shared" si="12"/>
        <v>2143.55</v>
      </c>
    </row>
    <row r="21" spans="1:40">
      <c r="A21">
        <v>20</v>
      </c>
      <c r="B21" t="s">
        <v>41</v>
      </c>
      <c r="C21">
        <v>56.5</v>
      </c>
      <c r="D21">
        <v>33</v>
      </c>
      <c r="E21">
        <f t="shared" si="0"/>
        <v>1864.5</v>
      </c>
      <c r="F21">
        <v>400</v>
      </c>
      <c r="G21">
        <v>850.5</v>
      </c>
      <c r="H21">
        <f t="shared" si="1"/>
        <v>3115</v>
      </c>
      <c r="K21">
        <v>20</v>
      </c>
      <c r="L21" t="s">
        <v>41</v>
      </c>
      <c r="M21">
        <v>66.85</v>
      </c>
      <c r="N21">
        <v>5</v>
      </c>
      <c r="O21">
        <f t="shared" si="2"/>
        <v>3115</v>
      </c>
      <c r="P21">
        <v>0</v>
      </c>
      <c r="Q21">
        <f t="shared" si="3"/>
        <v>3115</v>
      </c>
      <c r="R21">
        <f t="shared" si="4"/>
        <v>334.25</v>
      </c>
      <c r="S21">
        <v>100</v>
      </c>
      <c r="T21">
        <f t="shared" si="5"/>
        <v>3549.25</v>
      </c>
      <c r="W21" t="s">
        <v>41</v>
      </c>
      <c r="X21">
        <f t="shared" si="6"/>
        <v>3549.25</v>
      </c>
      <c r="Z21">
        <f t="shared" si="7"/>
        <v>3549.25</v>
      </c>
      <c r="AA21">
        <v>69.3</v>
      </c>
      <c r="AB21">
        <v>15</v>
      </c>
      <c r="AC21">
        <f t="shared" si="8"/>
        <v>1039.5</v>
      </c>
      <c r="AD21">
        <f t="shared" si="9"/>
        <v>4588.75</v>
      </c>
      <c r="AG21" t="s">
        <v>41</v>
      </c>
      <c r="AH21">
        <v>4588.75</v>
      </c>
      <c r="AI21">
        <v>3000</v>
      </c>
      <c r="AJ21">
        <f t="shared" si="10"/>
        <v>1588.75</v>
      </c>
      <c r="AK21">
        <v>53.3</v>
      </c>
      <c r="AL21">
        <v>45</v>
      </c>
      <c r="AM21">
        <f t="shared" si="11"/>
        <v>2398.5</v>
      </c>
      <c r="AN21">
        <f t="shared" si="12"/>
        <v>3987.25</v>
      </c>
    </row>
    <row r="22" spans="1:40">
      <c r="A22">
        <v>21</v>
      </c>
      <c r="B22" t="s">
        <v>42</v>
      </c>
      <c r="C22">
        <v>56.5</v>
      </c>
      <c r="D22">
        <v>15</v>
      </c>
      <c r="E22">
        <f t="shared" si="0"/>
        <v>847.5</v>
      </c>
      <c r="F22">
        <v>100</v>
      </c>
      <c r="G22">
        <v>580</v>
      </c>
      <c r="H22">
        <f t="shared" si="1"/>
        <v>1527.5</v>
      </c>
      <c r="K22">
        <v>21</v>
      </c>
      <c r="L22" t="s">
        <v>42</v>
      </c>
      <c r="M22">
        <v>66.85</v>
      </c>
      <c r="N22">
        <v>6</v>
      </c>
      <c r="O22">
        <f t="shared" si="2"/>
        <v>1527.5</v>
      </c>
      <c r="P22">
        <v>1000</v>
      </c>
      <c r="Q22">
        <f t="shared" si="3"/>
        <v>527.5</v>
      </c>
      <c r="R22">
        <f t="shared" si="4"/>
        <v>401.1</v>
      </c>
      <c r="S22">
        <v>100</v>
      </c>
      <c r="T22">
        <f t="shared" si="5"/>
        <v>1028.6</v>
      </c>
      <c r="W22" t="s">
        <v>42</v>
      </c>
      <c r="X22">
        <f t="shared" si="6"/>
        <v>1028.6</v>
      </c>
      <c r="Z22">
        <f t="shared" si="7"/>
        <v>1028.6</v>
      </c>
      <c r="AA22">
        <v>69.3</v>
      </c>
      <c r="AB22">
        <v>7</v>
      </c>
      <c r="AC22">
        <f t="shared" si="8"/>
        <v>485.1</v>
      </c>
      <c r="AD22">
        <f t="shared" si="9"/>
        <v>1513.7</v>
      </c>
      <c r="AG22" t="s">
        <v>42</v>
      </c>
      <c r="AH22">
        <v>1513.7</v>
      </c>
      <c r="AI22">
        <v>1000</v>
      </c>
      <c r="AJ22">
        <f t="shared" si="10"/>
        <v>513.7</v>
      </c>
      <c r="AK22">
        <v>53.3</v>
      </c>
      <c r="AL22">
        <v>38</v>
      </c>
      <c r="AM22">
        <f t="shared" si="11"/>
        <v>2025.4</v>
      </c>
      <c r="AN22">
        <f t="shared" si="12"/>
        <v>2539.1</v>
      </c>
    </row>
    <row r="23" spans="1:40">
      <c r="A23">
        <v>22</v>
      </c>
      <c r="B23" t="s">
        <v>43</v>
      </c>
      <c r="C23">
        <v>56.5</v>
      </c>
      <c r="D23">
        <v>41</v>
      </c>
      <c r="E23">
        <f t="shared" si="0"/>
        <v>2316.5</v>
      </c>
      <c r="F23">
        <v>100</v>
      </c>
      <c r="G23">
        <v>2147</v>
      </c>
      <c r="H23">
        <f t="shared" si="1"/>
        <v>4563.5</v>
      </c>
      <c r="K23">
        <v>22</v>
      </c>
      <c r="L23" t="s">
        <v>43</v>
      </c>
      <c r="M23">
        <v>66.85</v>
      </c>
      <c r="N23">
        <v>9</v>
      </c>
      <c r="O23">
        <f t="shared" si="2"/>
        <v>4563.5</v>
      </c>
      <c r="P23">
        <v>0</v>
      </c>
      <c r="Q23">
        <f t="shared" si="3"/>
        <v>4563.5</v>
      </c>
      <c r="R23">
        <f t="shared" si="4"/>
        <v>601.65</v>
      </c>
      <c r="S23">
        <v>100</v>
      </c>
      <c r="T23">
        <f t="shared" si="5"/>
        <v>5265.15</v>
      </c>
      <c r="W23" t="s">
        <v>43</v>
      </c>
      <c r="X23">
        <f t="shared" si="6"/>
        <v>5265.15</v>
      </c>
      <c r="Y23">
        <v>2000</v>
      </c>
      <c r="Z23">
        <f t="shared" si="7"/>
        <v>3265.15</v>
      </c>
      <c r="AA23">
        <v>69.3</v>
      </c>
      <c r="AB23">
        <v>15</v>
      </c>
      <c r="AC23">
        <f t="shared" si="8"/>
        <v>1039.5</v>
      </c>
      <c r="AD23">
        <f t="shared" si="9"/>
        <v>4304.65</v>
      </c>
      <c r="AG23" t="s">
        <v>43</v>
      </c>
      <c r="AH23">
        <v>4304.65</v>
      </c>
      <c r="AI23">
        <v>2500</v>
      </c>
      <c r="AJ23">
        <f t="shared" si="10"/>
        <v>1804.65</v>
      </c>
      <c r="AK23">
        <v>53.3</v>
      </c>
      <c r="AL23">
        <v>37</v>
      </c>
      <c r="AM23">
        <f t="shared" si="11"/>
        <v>1972.1</v>
      </c>
      <c r="AN23">
        <f t="shared" si="12"/>
        <v>3776.75</v>
      </c>
    </row>
    <row r="24" spans="1:40">
      <c r="A24">
        <v>23</v>
      </c>
      <c r="B24" t="s">
        <v>44</v>
      </c>
      <c r="C24">
        <v>56.5</v>
      </c>
      <c r="D24">
        <v>33</v>
      </c>
      <c r="E24">
        <f t="shared" si="0"/>
        <v>1864.5</v>
      </c>
      <c r="F24">
        <v>100</v>
      </c>
      <c r="G24">
        <v>485</v>
      </c>
      <c r="H24">
        <f t="shared" si="1"/>
        <v>2449.5</v>
      </c>
      <c r="K24">
        <v>23</v>
      </c>
      <c r="L24" t="s">
        <v>44</v>
      </c>
      <c r="M24">
        <v>66.85</v>
      </c>
      <c r="N24">
        <v>5</v>
      </c>
      <c r="O24">
        <f t="shared" si="2"/>
        <v>2449.5</v>
      </c>
      <c r="P24">
        <v>2400</v>
      </c>
      <c r="Q24">
        <f t="shared" si="3"/>
        <v>49.5</v>
      </c>
      <c r="R24">
        <f t="shared" si="4"/>
        <v>334.25</v>
      </c>
      <c r="S24">
        <v>100</v>
      </c>
      <c r="T24">
        <f t="shared" si="5"/>
        <v>483.75</v>
      </c>
      <c r="W24" t="s">
        <v>44</v>
      </c>
      <c r="X24">
        <f t="shared" si="6"/>
        <v>483.75</v>
      </c>
      <c r="Z24">
        <f t="shared" si="7"/>
        <v>483.75</v>
      </c>
      <c r="AA24">
        <v>69.3</v>
      </c>
      <c r="AB24">
        <v>10</v>
      </c>
      <c r="AC24">
        <f t="shared" si="8"/>
        <v>693</v>
      </c>
      <c r="AD24">
        <f t="shared" si="9"/>
        <v>1176.75</v>
      </c>
      <c r="AG24" t="s">
        <v>44</v>
      </c>
      <c r="AH24">
        <v>1176.75</v>
      </c>
      <c r="AI24">
        <v>1000</v>
      </c>
      <c r="AJ24">
        <f t="shared" si="10"/>
        <v>176.75</v>
      </c>
      <c r="AK24">
        <v>53.3</v>
      </c>
      <c r="AL24">
        <v>44</v>
      </c>
      <c r="AM24">
        <f t="shared" si="11"/>
        <v>2345.2</v>
      </c>
      <c r="AN24">
        <f t="shared" si="12"/>
        <v>2521.95</v>
      </c>
    </row>
    <row r="25" spans="1:40">
      <c r="A25">
        <v>24</v>
      </c>
      <c r="B25" t="s">
        <v>45</v>
      </c>
      <c r="C25">
        <v>56.5</v>
      </c>
      <c r="D25">
        <v>54</v>
      </c>
      <c r="E25">
        <f t="shared" si="0"/>
        <v>3051</v>
      </c>
      <c r="F25">
        <v>400</v>
      </c>
      <c r="G25">
        <v>-145</v>
      </c>
      <c r="H25">
        <f t="shared" si="1"/>
        <v>3306</v>
      </c>
      <c r="K25">
        <v>24</v>
      </c>
      <c r="L25" t="s">
        <v>45</v>
      </c>
      <c r="M25">
        <v>66.85</v>
      </c>
      <c r="N25">
        <v>46</v>
      </c>
      <c r="O25">
        <f t="shared" si="2"/>
        <v>3306</v>
      </c>
      <c r="P25">
        <v>2500</v>
      </c>
      <c r="Q25">
        <f t="shared" si="3"/>
        <v>806</v>
      </c>
      <c r="R25">
        <f t="shared" si="4"/>
        <v>3075.1</v>
      </c>
      <c r="S25">
        <v>100</v>
      </c>
      <c r="T25">
        <f t="shared" si="5"/>
        <v>3981.1</v>
      </c>
      <c r="W25" t="s">
        <v>45</v>
      </c>
      <c r="X25">
        <f t="shared" si="6"/>
        <v>3981.1</v>
      </c>
      <c r="Y25">
        <v>2500</v>
      </c>
      <c r="Z25">
        <f t="shared" si="7"/>
        <v>1481.1</v>
      </c>
      <c r="AA25">
        <v>69.3</v>
      </c>
      <c r="AB25">
        <v>25</v>
      </c>
      <c r="AC25">
        <f t="shared" si="8"/>
        <v>1732.5</v>
      </c>
      <c r="AD25">
        <f t="shared" si="9"/>
        <v>3213.6</v>
      </c>
      <c r="AG25" t="s">
        <v>45</v>
      </c>
      <c r="AH25">
        <v>3213.6</v>
      </c>
      <c r="AI25">
        <v>3000</v>
      </c>
      <c r="AJ25">
        <f t="shared" si="10"/>
        <v>213.6</v>
      </c>
      <c r="AK25">
        <v>53.3</v>
      </c>
      <c r="AL25">
        <v>52</v>
      </c>
      <c r="AM25">
        <f t="shared" si="11"/>
        <v>2771.6</v>
      </c>
      <c r="AN25">
        <f t="shared" si="12"/>
        <v>2985.2</v>
      </c>
    </row>
    <row r="26" spans="1:40">
      <c r="A26">
        <v>25</v>
      </c>
      <c r="B26" t="s">
        <v>46</v>
      </c>
      <c r="C26">
        <v>56.5</v>
      </c>
      <c r="D26">
        <v>42</v>
      </c>
      <c r="E26">
        <f t="shared" si="0"/>
        <v>2373</v>
      </c>
      <c r="F26">
        <v>400</v>
      </c>
      <c r="G26">
        <v>380</v>
      </c>
      <c r="H26">
        <f t="shared" si="1"/>
        <v>3153</v>
      </c>
      <c r="K26">
        <v>25</v>
      </c>
      <c r="L26" t="s">
        <v>46</v>
      </c>
      <c r="M26">
        <v>66.85</v>
      </c>
      <c r="N26">
        <v>40</v>
      </c>
      <c r="O26">
        <f t="shared" si="2"/>
        <v>3153</v>
      </c>
      <c r="P26">
        <v>2500</v>
      </c>
      <c r="Q26">
        <f t="shared" si="3"/>
        <v>653</v>
      </c>
      <c r="R26">
        <f t="shared" si="4"/>
        <v>2674</v>
      </c>
      <c r="S26">
        <v>100</v>
      </c>
      <c r="T26">
        <f t="shared" si="5"/>
        <v>3427</v>
      </c>
      <c r="W26" t="s">
        <v>46</v>
      </c>
      <c r="X26">
        <f t="shared" si="6"/>
        <v>3427</v>
      </c>
      <c r="Z26">
        <f t="shared" si="7"/>
        <v>3427</v>
      </c>
      <c r="AA26">
        <v>69.3</v>
      </c>
      <c r="AB26">
        <v>20</v>
      </c>
      <c r="AC26">
        <f t="shared" si="8"/>
        <v>1386</v>
      </c>
      <c r="AD26">
        <f t="shared" si="9"/>
        <v>4813</v>
      </c>
      <c r="AG26" t="s">
        <v>46</v>
      </c>
      <c r="AH26">
        <v>4813</v>
      </c>
      <c r="AI26">
        <v>4500</v>
      </c>
      <c r="AJ26">
        <f t="shared" si="10"/>
        <v>313</v>
      </c>
      <c r="AK26">
        <v>53.3</v>
      </c>
      <c r="AL26">
        <v>43</v>
      </c>
      <c r="AM26">
        <f t="shared" si="11"/>
        <v>2291.9</v>
      </c>
      <c r="AN26">
        <f t="shared" si="12"/>
        <v>2604.9</v>
      </c>
    </row>
    <row r="27" spans="1:40">
      <c r="A27">
        <v>26</v>
      </c>
      <c r="B27" t="s">
        <v>47</v>
      </c>
      <c r="C27">
        <v>56.5</v>
      </c>
      <c r="D27">
        <v>46</v>
      </c>
      <c r="E27">
        <f t="shared" si="0"/>
        <v>2599</v>
      </c>
      <c r="F27">
        <v>100</v>
      </c>
      <c r="G27">
        <v>1507</v>
      </c>
      <c r="H27">
        <f t="shared" si="1"/>
        <v>4206</v>
      </c>
      <c r="K27">
        <v>26</v>
      </c>
      <c r="L27" t="s">
        <v>47</v>
      </c>
      <c r="M27">
        <v>66.85</v>
      </c>
      <c r="N27">
        <v>42</v>
      </c>
      <c r="O27">
        <f t="shared" si="2"/>
        <v>4206</v>
      </c>
      <c r="P27">
        <v>4000</v>
      </c>
      <c r="Q27">
        <f t="shared" si="3"/>
        <v>206</v>
      </c>
      <c r="R27">
        <f t="shared" si="4"/>
        <v>2807.7</v>
      </c>
      <c r="S27">
        <v>100</v>
      </c>
      <c r="T27">
        <f t="shared" si="5"/>
        <v>3113.7</v>
      </c>
      <c r="W27" t="s">
        <v>47</v>
      </c>
      <c r="X27">
        <f t="shared" si="6"/>
        <v>3113.7</v>
      </c>
      <c r="Z27">
        <f t="shared" si="7"/>
        <v>3113.7</v>
      </c>
      <c r="AA27">
        <v>69.3</v>
      </c>
      <c r="AB27">
        <v>12</v>
      </c>
      <c r="AC27">
        <f t="shared" si="8"/>
        <v>831.6</v>
      </c>
      <c r="AD27">
        <f t="shared" si="9"/>
        <v>3945.3</v>
      </c>
      <c r="AG27" t="s">
        <v>47</v>
      </c>
      <c r="AH27">
        <v>3945.3</v>
      </c>
      <c r="AI27">
        <v>4000</v>
      </c>
      <c r="AJ27">
        <f t="shared" si="10"/>
        <v>-54.6999999999998</v>
      </c>
      <c r="AK27">
        <v>53.3</v>
      </c>
      <c r="AL27">
        <v>48</v>
      </c>
      <c r="AM27">
        <f t="shared" si="11"/>
        <v>2558.4</v>
      </c>
      <c r="AN27">
        <f t="shared" si="12"/>
        <v>2503.7</v>
      </c>
    </row>
    <row r="28" spans="1:40">
      <c r="A28">
        <v>27</v>
      </c>
      <c r="B28" t="s">
        <v>48</v>
      </c>
      <c r="C28">
        <v>56.5</v>
      </c>
      <c r="D28">
        <v>51</v>
      </c>
      <c r="E28">
        <f t="shared" si="0"/>
        <v>2881.5</v>
      </c>
      <c r="F28">
        <v>100</v>
      </c>
      <c r="G28">
        <v>478</v>
      </c>
      <c r="H28">
        <f t="shared" si="1"/>
        <v>3459.5</v>
      </c>
      <c r="K28">
        <v>27</v>
      </c>
      <c r="L28" t="s">
        <v>49</v>
      </c>
      <c r="M28">
        <v>66.85</v>
      </c>
      <c r="N28">
        <v>48</v>
      </c>
      <c r="O28">
        <f t="shared" si="2"/>
        <v>3459.5</v>
      </c>
      <c r="P28">
        <v>3000</v>
      </c>
      <c r="Q28">
        <f t="shared" si="3"/>
        <v>459.5</v>
      </c>
      <c r="R28">
        <f t="shared" si="4"/>
        <v>3208.8</v>
      </c>
      <c r="S28">
        <v>100</v>
      </c>
      <c r="T28">
        <f t="shared" si="5"/>
        <v>3768.3</v>
      </c>
      <c r="W28" t="s">
        <v>49</v>
      </c>
      <c r="X28">
        <f t="shared" si="6"/>
        <v>3768.3</v>
      </c>
      <c r="Z28">
        <f t="shared" si="7"/>
        <v>3768.3</v>
      </c>
      <c r="AA28">
        <v>69.3</v>
      </c>
      <c r="AB28">
        <v>30</v>
      </c>
      <c r="AC28">
        <f t="shared" si="8"/>
        <v>2079</v>
      </c>
      <c r="AD28">
        <f t="shared" si="9"/>
        <v>5847.3</v>
      </c>
      <c r="AG28" t="s">
        <v>49</v>
      </c>
      <c r="AH28">
        <v>5847.3</v>
      </c>
      <c r="AI28">
        <v>5500</v>
      </c>
      <c r="AJ28">
        <f t="shared" si="10"/>
        <v>347.3</v>
      </c>
      <c r="AK28">
        <v>53.3</v>
      </c>
      <c r="AL28">
        <v>50</v>
      </c>
      <c r="AM28">
        <f t="shared" si="11"/>
        <v>2665</v>
      </c>
      <c r="AN28">
        <f t="shared" si="12"/>
        <v>3012.3</v>
      </c>
    </row>
    <row r="29" spans="1:40">
      <c r="A29">
        <v>28</v>
      </c>
      <c r="B29" t="s">
        <v>50</v>
      </c>
      <c r="C29">
        <v>56.5</v>
      </c>
      <c r="D29">
        <v>46</v>
      </c>
      <c r="E29">
        <f t="shared" si="0"/>
        <v>2599</v>
      </c>
      <c r="F29">
        <v>100</v>
      </c>
      <c r="G29">
        <v>533</v>
      </c>
      <c r="H29">
        <f t="shared" si="1"/>
        <v>3232</v>
      </c>
      <c r="K29">
        <v>28</v>
      </c>
      <c r="L29" t="s">
        <v>50</v>
      </c>
      <c r="M29">
        <v>66.85</v>
      </c>
      <c r="N29">
        <v>10</v>
      </c>
      <c r="O29">
        <f t="shared" si="2"/>
        <v>3232</v>
      </c>
      <c r="P29">
        <v>2700</v>
      </c>
      <c r="Q29">
        <f t="shared" si="3"/>
        <v>532</v>
      </c>
      <c r="R29">
        <f t="shared" si="4"/>
        <v>668.5</v>
      </c>
      <c r="S29">
        <v>100</v>
      </c>
      <c r="T29">
        <f t="shared" si="5"/>
        <v>1300.5</v>
      </c>
      <c r="W29" t="s">
        <v>50</v>
      </c>
      <c r="X29">
        <f t="shared" si="6"/>
        <v>1300.5</v>
      </c>
      <c r="Z29">
        <f t="shared" si="7"/>
        <v>1300.5</v>
      </c>
      <c r="AA29">
        <v>69.3</v>
      </c>
      <c r="AB29">
        <v>11</v>
      </c>
      <c r="AC29">
        <f t="shared" si="8"/>
        <v>762.3</v>
      </c>
      <c r="AD29">
        <f t="shared" si="9"/>
        <v>2062.8</v>
      </c>
      <c r="AG29" t="s">
        <v>50</v>
      </c>
      <c r="AH29">
        <v>2062.8</v>
      </c>
      <c r="AI29">
        <v>1600</v>
      </c>
      <c r="AJ29">
        <f t="shared" si="10"/>
        <v>462.8</v>
      </c>
      <c r="AK29">
        <v>53.3</v>
      </c>
      <c r="AL29">
        <v>55</v>
      </c>
      <c r="AM29">
        <f t="shared" si="11"/>
        <v>2931.5</v>
      </c>
      <c r="AN29">
        <f t="shared" si="12"/>
        <v>3394.3</v>
      </c>
    </row>
    <row r="30" spans="1:40">
      <c r="A30">
        <v>29</v>
      </c>
      <c r="B30" t="s">
        <v>51</v>
      </c>
      <c r="C30">
        <v>56.5</v>
      </c>
      <c r="D30">
        <v>21</v>
      </c>
      <c r="E30">
        <f t="shared" si="0"/>
        <v>1186.5</v>
      </c>
      <c r="F30">
        <v>100</v>
      </c>
      <c r="G30">
        <v>3221</v>
      </c>
      <c r="H30">
        <f t="shared" si="1"/>
        <v>4507.5</v>
      </c>
      <c r="K30">
        <v>29</v>
      </c>
      <c r="L30" t="s">
        <v>51</v>
      </c>
      <c r="M30">
        <v>66.85</v>
      </c>
      <c r="N30">
        <v>7</v>
      </c>
      <c r="O30">
        <f t="shared" si="2"/>
        <v>4507.5</v>
      </c>
      <c r="P30">
        <v>2000</v>
      </c>
      <c r="Q30">
        <f t="shared" si="3"/>
        <v>2507.5</v>
      </c>
      <c r="R30">
        <f t="shared" si="4"/>
        <v>467.95</v>
      </c>
      <c r="S30">
        <v>100</v>
      </c>
      <c r="T30">
        <f t="shared" si="5"/>
        <v>3075.45</v>
      </c>
      <c r="W30" t="s">
        <v>51</v>
      </c>
      <c r="X30">
        <f t="shared" si="6"/>
        <v>3075.45</v>
      </c>
      <c r="Z30">
        <f t="shared" si="7"/>
        <v>3075.45</v>
      </c>
      <c r="AA30">
        <v>69.3</v>
      </c>
      <c r="AB30">
        <v>9</v>
      </c>
      <c r="AC30">
        <f t="shared" si="8"/>
        <v>623.7</v>
      </c>
      <c r="AD30">
        <f t="shared" si="9"/>
        <v>3699.15</v>
      </c>
      <c r="AG30" t="s">
        <v>51</v>
      </c>
      <c r="AH30">
        <v>3699.15</v>
      </c>
      <c r="AI30">
        <v>4000</v>
      </c>
      <c r="AJ30">
        <f t="shared" si="10"/>
        <v>-300.85</v>
      </c>
      <c r="AK30">
        <v>53.3</v>
      </c>
      <c r="AL30">
        <v>26</v>
      </c>
      <c r="AM30">
        <f t="shared" si="11"/>
        <v>1385.8</v>
      </c>
      <c r="AN30">
        <f t="shared" si="12"/>
        <v>1084.95</v>
      </c>
    </row>
    <row r="31" spans="1:40">
      <c r="A31">
        <v>30</v>
      </c>
      <c r="B31" t="s">
        <v>52</v>
      </c>
      <c r="C31">
        <v>56.5</v>
      </c>
      <c r="D31">
        <v>34</v>
      </c>
      <c r="E31">
        <f t="shared" si="0"/>
        <v>1921</v>
      </c>
      <c r="F31">
        <v>400</v>
      </c>
      <c r="G31">
        <v>887.5</v>
      </c>
      <c r="H31">
        <f t="shared" si="1"/>
        <v>3208.5</v>
      </c>
      <c r="K31">
        <v>30</v>
      </c>
      <c r="L31" t="s">
        <v>52</v>
      </c>
      <c r="M31">
        <v>66.85</v>
      </c>
      <c r="N31">
        <v>3</v>
      </c>
      <c r="O31">
        <f t="shared" si="2"/>
        <v>3208.5</v>
      </c>
      <c r="P31">
        <v>2000</v>
      </c>
      <c r="Q31">
        <f t="shared" si="3"/>
        <v>1208.5</v>
      </c>
      <c r="R31">
        <f t="shared" si="4"/>
        <v>200.55</v>
      </c>
      <c r="S31">
        <v>100</v>
      </c>
      <c r="T31">
        <f t="shared" si="5"/>
        <v>1509.05</v>
      </c>
      <c r="W31" t="s">
        <v>52</v>
      </c>
      <c r="X31">
        <f t="shared" si="6"/>
        <v>1509.05</v>
      </c>
      <c r="Z31">
        <f t="shared" si="7"/>
        <v>1509.05</v>
      </c>
      <c r="AA31">
        <v>69.3</v>
      </c>
      <c r="AB31">
        <v>6</v>
      </c>
      <c r="AC31">
        <f t="shared" si="8"/>
        <v>415.8</v>
      </c>
      <c r="AD31">
        <f t="shared" si="9"/>
        <v>1924.85</v>
      </c>
      <c r="AG31" t="s">
        <v>52</v>
      </c>
      <c r="AH31">
        <v>1924.85</v>
      </c>
      <c r="AI31">
        <v>1000</v>
      </c>
      <c r="AJ31">
        <f t="shared" si="10"/>
        <v>924.85</v>
      </c>
      <c r="AK31">
        <v>53.3</v>
      </c>
      <c r="AL31">
        <v>17</v>
      </c>
      <c r="AM31">
        <f t="shared" si="11"/>
        <v>906.1</v>
      </c>
      <c r="AN31">
        <f t="shared" si="12"/>
        <v>1830.95</v>
      </c>
    </row>
    <row r="32" spans="1:40">
      <c r="A32">
        <v>31</v>
      </c>
      <c r="B32" t="s">
        <v>53</v>
      </c>
      <c r="C32">
        <v>56.5</v>
      </c>
      <c r="D32">
        <v>42</v>
      </c>
      <c r="E32">
        <f t="shared" si="0"/>
        <v>2373</v>
      </c>
      <c r="F32">
        <v>100</v>
      </c>
      <c r="G32">
        <v>1262</v>
      </c>
      <c r="H32">
        <f t="shared" si="1"/>
        <v>3735</v>
      </c>
      <c r="K32">
        <v>31</v>
      </c>
      <c r="L32" t="s">
        <v>53</v>
      </c>
      <c r="M32">
        <v>66.85</v>
      </c>
      <c r="N32">
        <v>7</v>
      </c>
      <c r="O32">
        <f t="shared" si="2"/>
        <v>3735</v>
      </c>
      <c r="P32">
        <v>0</v>
      </c>
      <c r="Q32">
        <f t="shared" si="3"/>
        <v>3735</v>
      </c>
      <c r="R32">
        <f t="shared" si="4"/>
        <v>467.95</v>
      </c>
      <c r="S32">
        <v>100</v>
      </c>
      <c r="T32">
        <f t="shared" si="5"/>
        <v>4302.95</v>
      </c>
      <c r="W32" t="s">
        <v>53</v>
      </c>
      <c r="X32">
        <f t="shared" si="6"/>
        <v>4302.95</v>
      </c>
      <c r="Z32">
        <f t="shared" si="7"/>
        <v>4302.95</v>
      </c>
      <c r="AA32">
        <v>69.3</v>
      </c>
      <c r="AB32">
        <v>1</v>
      </c>
      <c r="AC32">
        <f t="shared" si="8"/>
        <v>69.3</v>
      </c>
      <c r="AD32">
        <f t="shared" si="9"/>
        <v>4372.25</v>
      </c>
      <c r="AG32" t="s">
        <v>53</v>
      </c>
      <c r="AH32">
        <v>4372.25</v>
      </c>
      <c r="AI32">
        <v>3100</v>
      </c>
      <c r="AJ32">
        <f t="shared" si="10"/>
        <v>1272.25</v>
      </c>
      <c r="AK32">
        <v>53.3</v>
      </c>
      <c r="AL32">
        <v>36</v>
      </c>
      <c r="AM32">
        <f t="shared" si="11"/>
        <v>1918.8</v>
      </c>
      <c r="AN32">
        <f t="shared" si="12"/>
        <v>3191.05</v>
      </c>
    </row>
    <row r="33" spans="1:40">
      <c r="A33">
        <v>32</v>
      </c>
      <c r="B33" t="s">
        <v>54</v>
      </c>
      <c r="C33">
        <v>56.5</v>
      </c>
      <c r="D33">
        <v>56</v>
      </c>
      <c r="E33">
        <f t="shared" si="0"/>
        <v>3164</v>
      </c>
      <c r="F33">
        <v>100</v>
      </c>
      <c r="G33">
        <v>2964</v>
      </c>
      <c r="H33">
        <f t="shared" si="1"/>
        <v>6228</v>
      </c>
      <c r="K33">
        <v>32</v>
      </c>
      <c r="L33" t="s">
        <v>54</v>
      </c>
      <c r="M33">
        <v>66.85</v>
      </c>
      <c r="N33">
        <v>31</v>
      </c>
      <c r="O33">
        <f t="shared" si="2"/>
        <v>6228</v>
      </c>
      <c r="P33">
        <v>1000</v>
      </c>
      <c r="Q33">
        <f t="shared" si="3"/>
        <v>5228</v>
      </c>
      <c r="R33">
        <f t="shared" si="4"/>
        <v>2072.35</v>
      </c>
      <c r="S33">
        <v>100</v>
      </c>
      <c r="T33">
        <f t="shared" si="5"/>
        <v>7400.35</v>
      </c>
      <c r="W33" t="s">
        <v>54</v>
      </c>
      <c r="X33">
        <f t="shared" si="6"/>
        <v>7400.35</v>
      </c>
      <c r="Z33">
        <f t="shared" si="7"/>
        <v>7400.35</v>
      </c>
      <c r="AA33">
        <v>69.3</v>
      </c>
      <c r="AB33">
        <v>0</v>
      </c>
      <c r="AC33">
        <f t="shared" si="8"/>
        <v>0</v>
      </c>
      <c r="AD33">
        <f t="shared" si="9"/>
        <v>7400.35</v>
      </c>
      <c r="AG33" t="s">
        <v>54</v>
      </c>
      <c r="AH33">
        <v>7400.35</v>
      </c>
      <c r="AI33">
        <v>5000</v>
      </c>
      <c r="AJ33">
        <f t="shared" si="10"/>
        <v>2400.35</v>
      </c>
      <c r="AK33">
        <v>53.3</v>
      </c>
      <c r="AL33">
        <v>38</v>
      </c>
      <c r="AM33">
        <f t="shared" si="11"/>
        <v>2025.4</v>
      </c>
      <c r="AN33">
        <f t="shared" si="12"/>
        <v>4425.75</v>
      </c>
    </row>
    <row r="34" spans="1:40">
      <c r="A34">
        <v>33</v>
      </c>
      <c r="B34" t="s">
        <v>55</v>
      </c>
      <c r="C34">
        <v>56.5</v>
      </c>
      <c r="D34">
        <v>33</v>
      </c>
      <c r="E34">
        <f t="shared" si="0"/>
        <v>1864.5</v>
      </c>
      <c r="F34">
        <v>100</v>
      </c>
      <c r="G34">
        <v>-31</v>
      </c>
      <c r="H34">
        <f t="shared" si="1"/>
        <v>1933.5</v>
      </c>
      <c r="K34">
        <v>33</v>
      </c>
      <c r="L34" t="s">
        <v>55</v>
      </c>
      <c r="M34">
        <v>66.85</v>
      </c>
      <c r="N34">
        <v>17</v>
      </c>
      <c r="O34">
        <f t="shared" si="2"/>
        <v>1933.5</v>
      </c>
      <c r="P34">
        <v>1000</v>
      </c>
      <c r="Q34">
        <f t="shared" si="3"/>
        <v>933.5</v>
      </c>
      <c r="R34">
        <f t="shared" si="4"/>
        <v>1136.45</v>
      </c>
      <c r="S34">
        <v>100</v>
      </c>
      <c r="T34">
        <f t="shared" si="5"/>
        <v>2169.95</v>
      </c>
      <c r="W34" t="s">
        <v>55</v>
      </c>
      <c r="X34">
        <f t="shared" si="6"/>
        <v>2169.95</v>
      </c>
      <c r="Y34">
        <v>1000</v>
      </c>
      <c r="Z34">
        <f t="shared" si="7"/>
        <v>1169.95</v>
      </c>
      <c r="AA34">
        <v>69.3</v>
      </c>
      <c r="AB34">
        <v>0</v>
      </c>
      <c r="AC34">
        <f t="shared" si="8"/>
        <v>0</v>
      </c>
      <c r="AD34">
        <f t="shared" si="9"/>
        <v>1169.95</v>
      </c>
      <c r="AG34" t="s">
        <v>55</v>
      </c>
      <c r="AH34">
        <v>1169.95</v>
      </c>
      <c r="AI34">
        <v>500</v>
      </c>
      <c r="AJ34">
        <f t="shared" si="10"/>
        <v>669.95</v>
      </c>
      <c r="AK34">
        <v>53.3</v>
      </c>
      <c r="AL34">
        <v>6</v>
      </c>
      <c r="AM34">
        <f t="shared" si="11"/>
        <v>319.8</v>
      </c>
      <c r="AN34">
        <f t="shared" si="12"/>
        <v>989.75</v>
      </c>
    </row>
    <row r="35" spans="1:40">
      <c r="A35">
        <v>34</v>
      </c>
      <c r="B35" t="s">
        <v>56</v>
      </c>
      <c r="C35">
        <v>56.5</v>
      </c>
      <c r="D35">
        <v>46</v>
      </c>
      <c r="E35">
        <f t="shared" si="0"/>
        <v>2599</v>
      </c>
      <c r="F35">
        <v>100</v>
      </c>
      <c r="G35">
        <v>99.5</v>
      </c>
      <c r="H35">
        <f t="shared" si="1"/>
        <v>2798.5</v>
      </c>
      <c r="K35">
        <v>34</v>
      </c>
      <c r="L35" t="s">
        <v>56</v>
      </c>
      <c r="M35">
        <v>66.85</v>
      </c>
      <c r="N35">
        <v>1</v>
      </c>
      <c r="O35">
        <f t="shared" ref="O35:O72" si="13">H35</f>
        <v>2798.5</v>
      </c>
      <c r="P35">
        <v>2500</v>
      </c>
      <c r="Q35">
        <f t="shared" ref="Q35:Q72" si="14">O35-P35</f>
        <v>298.5</v>
      </c>
      <c r="R35">
        <f t="shared" ref="R35:R73" si="15">M35*N35</f>
        <v>66.85</v>
      </c>
      <c r="S35">
        <v>100</v>
      </c>
      <c r="T35">
        <f t="shared" ref="T35:T72" si="16">Q35+R35+S35</f>
        <v>465.35</v>
      </c>
      <c r="W35" t="s">
        <v>56</v>
      </c>
      <c r="X35">
        <f t="shared" ref="X35:X72" si="17">T35</f>
        <v>465.35</v>
      </c>
      <c r="Z35">
        <f t="shared" ref="Z35:Z72" si="18">X35-Y35</f>
        <v>465.35</v>
      </c>
      <c r="AA35">
        <v>69.3</v>
      </c>
      <c r="AB35">
        <v>0</v>
      </c>
      <c r="AC35">
        <f t="shared" ref="AC35:AC72" si="19">AA35*AB35</f>
        <v>0</v>
      </c>
      <c r="AD35">
        <f t="shared" ref="AD35:AD72" si="20">Z35+AC35</f>
        <v>465.35</v>
      </c>
      <c r="AG35" t="s">
        <v>56</v>
      </c>
      <c r="AH35">
        <v>465.35</v>
      </c>
      <c r="AI35">
        <v>500</v>
      </c>
      <c r="AJ35">
        <f t="shared" ref="AJ35:AJ66" si="21">AH35-AI35</f>
        <v>-34.65</v>
      </c>
      <c r="AK35">
        <v>53.3</v>
      </c>
      <c r="AL35">
        <v>50</v>
      </c>
      <c r="AM35">
        <f t="shared" ref="AM35:AM66" si="22">AK35*AL35</f>
        <v>2665</v>
      </c>
      <c r="AN35">
        <f t="shared" ref="AN35:AN66" si="23">AM35+AJ35</f>
        <v>2630.35</v>
      </c>
    </row>
    <row r="36" spans="1:40">
      <c r="A36">
        <v>35</v>
      </c>
      <c r="B36" t="s">
        <v>57</v>
      </c>
      <c r="C36">
        <v>56.5</v>
      </c>
      <c r="D36">
        <v>54</v>
      </c>
      <c r="E36">
        <f t="shared" si="0"/>
        <v>3051</v>
      </c>
      <c r="F36">
        <v>100</v>
      </c>
      <c r="G36">
        <v>4352</v>
      </c>
      <c r="H36">
        <f t="shared" si="1"/>
        <v>7503</v>
      </c>
      <c r="K36">
        <v>35</v>
      </c>
      <c r="L36" t="s">
        <v>57</v>
      </c>
      <c r="M36">
        <v>66.85</v>
      </c>
      <c r="N36">
        <v>0</v>
      </c>
      <c r="O36">
        <f t="shared" si="13"/>
        <v>7503</v>
      </c>
      <c r="P36">
        <v>0</v>
      </c>
      <c r="Q36">
        <f t="shared" si="14"/>
        <v>7503</v>
      </c>
      <c r="R36">
        <f t="shared" si="15"/>
        <v>0</v>
      </c>
      <c r="S36">
        <v>100</v>
      </c>
      <c r="T36">
        <f t="shared" si="16"/>
        <v>7603</v>
      </c>
      <c r="W36" t="s">
        <v>58</v>
      </c>
      <c r="X36">
        <f t="shared" si="17"/>
        <v>7603</v>
      </c>
      <c r="Z36">
        <f t="shared" si="18"/>
        <v>7603</v>
      </c>
      <c r="AA36">
        <v>69.3</v>
      </c>
      <c r="AB36">
        <v>8</v>
      </c>
      <c r="AC36">
        <f t="shared" si="19"/>
        <v>554.4</v>
      </c>
      <c r="AD36">
        <f t="shared" si="20"/>
        <v>8157.4</v>
      </c>
      <c r="AG36" t="s">
        <v>58</v>
      </c>
      <c r="AH36">
        <v>8157.4</v>
      </c>
      <c r="AI36">
        <v>0</v>
      </c>
      <c r="AJ36">
        <f t="shared" si="21"/>
        <v>8157.4</v>
      </c>
      <c r="AK36">
        <v>53.3</v>
      </c>
      <c r="AL36">
        <v>5</v>
      </c>
      <c r="AM36">
        <f t="shared" si="22"/>
        <v>266.5</v>
      </c>
      <c r="AN36">
        <f t="shared" si="23"/>
        <v>8423.9</v>
      </c>
    </row>
    <row r="37" spans="1:40">
      <c r="A37">
        <v>36</v>
      </c>
      <c r="B37" t="s">
        <v>59</v>
      </c>
      <c r="C37">
        <v>56.5</v>
      </c>
      <c r="D37">
        <v>48</v>
      </c>
      <c r="E37">
        <f t="shared" si="0"/>
        <v>2712</v>
      </c>
      <c r="F37">
        <v>100</v>
      </c>
      <c r="G37">
        <v>-24</v>
      </c>
      <c r="H37">
        <f t="shared" si="1"/>
        <v>2788</v>
      </c>
      <c r="K37">
        <v>36</v>
      </c>
      <c r="L37" t="s">
        <v>59</v>
      </c>
      <c r="M37">
        <v>66.85</v>
      </c>
      <c r="N37">
        <v>22</v>
      </c>
      <c r="O37">
        <f t="shared" si="13"/>
        <v>2788</v>
      </c>
      <c r="P37">
        <v>3000</v>
      </c>
      <c r="Q37">
        <f t="shared" si="14"/>
        <v>-212</v>
      </c>
      <c r="R37">
        <f t="shared" si="15"/>
        <v>1470.7</v>
      </c>
      <c r="S37">
        <v>100</v>
      </c>
      <c r="T37">
        <f t="shared" si="16"/>
        <v>1358.7</v>
      </c>
      <c r="W37" t="s">
        <v>59</v>
      </c>
      <c r="X37">
        <f t="shared" si="17"/>
        <v>1358.7</v>
      </c>
      <c r="Y37">
        <v>1500</v>
      </c>
      <c r="Z37">
        <f t="shared" si="18"/>
        <v>-141.3</v>
      </c>
      <c r="AA37">
        <v>69.3</v>
      </c>
      <c r="AB37">
        <v>8</v>
      </c>
      <c r="AC37">
        <f t="shared" si="19"/>
        <v>554.4</v>
      </c>
      <c r="AD37">
        <f t="shared" si="20"/>
        <v>413.1</v>
      </c>
      <c r="AG37" t="s">
        <v>59</v>
      </c>
      <c r="AH37">
        <v>413.1</v>
      </c>
      <c r="AI37">
        <v>500</v>
      </c>
      <c r="AJ37">
        <f t="shared" si="21"/>
        <v>-86.9</v>
      </c>
      <c r="AK37">
        <v>53.3</v>
      </c>
      <c r="AL37">
        <v>48</v>
      </c>
      <c r="AM37">
        <f t="shared" si="22"/>
        <v>2558.4</v>
      </c>
      <c r="AN37">
        <f t="shared" si="23"/>
        <v>2471.5</v>
      </c>
    </row>
    <row r="38" spans="1:40">
      <c r="A38">
        <v>37</v>
      </c>
      <c r="B38" t="s">
        <v>60</v>
      </c>
      <c r="C38">
        <v>56.5</v>
      </c>
      <c r="D38">
        <v>40</v>
      </c>
      <c r="E38">
        <f t="shared" si="0"/>
        <v>2260</v>
      </c>
      <c r="F38">
        <v>100</v>
      </c>
      <c r="G38">
        <v>1033</v>
      </c>
      <c r="H38">
        <f t="shared" si="1"/>
        <v>3393</v>
      </c>
      <c r="K38">
        <v>37</v>
      </c>
      <c r="L38" t="s">
        <v>60</v>
      </c>
      <c r="M38">
        <v>66.85</v>
      </c>
      <c r="N38">
        <v>27</v>
      </c>
      <c r="O38">
        <f t="shared" si="13"/>
        <v>3393</v>
      </c>
      <c r="P38">
        <v>2000</v>
      </c>
      <c r="Q38">
        <f t="shared" si="14"/>
        <v>1393</v>
      </c>
      <c r="R38">
        <f t="shared" si="15"/>
        <v>1804.95</v>
      </c>
      <c r="S38">
        <v>100</v>
      </c>
      <c r="T38">
        <f t="shared" si="16"/>
        <v>3297.95</v>
      </c>
      <c r="W38" t="s">
        <v>60</v>
      </c>
      <c r="X38">
        <f t="shared" si="17"/>
        <v>3297.95</v>
      </c>
      <c r="Z38">
        <f t="shared" si="18"/>
        <v>3297.95</v>
      </c>
      <c r="AA38">
        <v>69.3</v>
      </c>
      <c r="AB38">
        <v>20</v>
      </c>
      <c r="AC38">
        <f t="shared" si="19"/>
        <v>1386</v>
      </c>
      <c r="AD38">
        <f t="shared" si="20"/>
        <v>4683.95</v>
      </c>
      <c r="AG38" t="s">
        <v>60</v>
      </c>
      <c r="AH38">
        <v>4683.95</v>
      </c>
      <c r="AI38">
        <v>3000</v>
      </c>
      <c r="AJ38">
        <f t="shared" si="21"/>
        <v>1683.95</v>
      </c>
      <c r="AK38">
        <v>53.3</v>
      </c>
      <c r="AL38">
        <v>46</v>
      </c>
      <c r="AM38">
        <f t="shared" si="22"/>
        <v>2451.8</v>
      </c>
      <c r="AN38">
        <f t="shared" si="23"/>
        <v>4135.75</v>
      </c>
    </row>
    <row r="39" spans="1:40">
      <c r="A39">
        <v>38</v>
      </c>
      <c r="B39" t="s">
        <v>61</v>
      </c>
      <c r="C39">
        <v>56.5</v>
      </c>
      <c r="D39">
        <v>44</v>
      </c>
      <c r="E39">
        <f t="shared" si="0"/>
        <v>2486</v>
      </c>
      <c r="F39">
        <v>100</v>
      </c>
      <c r="G39">
        <v>148.5</v>
      </c>
      <c r="H39">
        <f t="shared" si="1"/>
        <v>2734.5</v>
      </c>
      <c r="K39">
        <v>38</v>
      </c>
      <c r="L39" t="s">
        <v>61</v>
      </c>
      <c r="M39">
        <v>66.85</v>
      </c>
      <c r="N39">
        <v>32</v>
      </c>
      <c r="O39">
        <f t="shared" si="13"/>
        <v>2734.5</v>
      </c>
      <c r="P39">
        <v>2800</v>
      </c>
      <c r="Q39">
        <f t="shared" si="14"/>
        <v>-65.5</v>
      </c>
      <c r="R39">
        <f t="shared" si="15"/>
        <v>2139.2</v>
      </c>
      <c r="S39">
        <v>100</v>
      </c>
      <c r="T39">
        <f t="shared" si="16"/>
        <v>2173.7</v>
      </c>
      <c r="W39" t="s">
        <v>61</v>
      </c>
      <c r="X39">
        <f t="shared" si="17"/>
        <v>2173.7</v>
      </c>
      <c r="Z39">
        <f t="shared" si="18"/>
        <v>2173.7</v>
      </c>
      <c r="AA39">
        <v>69.3</v>
      </c>
      <c r="AB39">
        <v>3</v>
      </c>
      <c r="AC39">
        <f t="shared" si="19"/>
        <v>207.9</v>
      </c>
      <c r="AD39">
        <f t="shared" si="20"/>
        <v>2381.6</v>
      </c>
      <c r="AG39" t="s">
        <v>61</v>
      </c>
      <c r="AH39">
        <v>2381.6</v>
      </c>
      <c r="AI39">
        <v>2200</v>
      </c>
      <c r="AJ39">
        <f t="shared" si="21"/>
        <v>181.6</v>
      </c>
      <c r="AK39">
        <v>53.3</v>
      </c>
      <c r="AL39">
        <v>32</v>
      </c>
      <c r="AM39">
        <f t="shared" si="22"/>
        <v>1705.6</v>
      </c>
      <c r="AN39">
        <f t="shared" si="23"/>
        <v>1887.2</v>
      </c>
    </row>
    <row r="40" spans="1:40">
      <c r="A40">
        <v>39</v>
      </c>
      <c r="B40" t="s">
        <v>62</v>
      </c>
      <c r="C40">
        <v>56.5</v>
      </c>
      <c r="D40">
        <v>47</v>
      </c>
      <c r="E40">
        <f t="shared" si="0"/>
        <v>2655.5</v>
      </c>
      <c r="F40">
        <v>100</v>
      </c>
      <c r="G40">
        <v>1770</v>
      </c>
      <c r="H40">
        <f t="shared" si="1"/>
        <v>4525.5</v>
      </c>
      <c r="K40">
        <v>39</v>
      </c>
      <c r="L40" t="s">
        <v>62</v>
      </c>
      <c r="M40">
        <v>66.85</v>
      </c>
      <c r="N40">
        <v>39</v>
      </c>
      <c r="O40">
        <f t="shared" si="13"/>
        <v>4525.5</v>
      </c>
      <c r="P40">
        <v>1000</v>
      </c>
      <c r="Q40">
        <f t="shared" si="14"/>
        <v>3525.5</v>
      </c>
      <c r="R40">
        <f t="shared" si="15"/>
        <v>2607.15</v>
      </c>
      <c r="S40">
        <v>100</v>
      </c>
      <c r="T40">
        <f t="shared" si="16"/>
        <v>6232.65</v>
      </c>
      <c r="W40" t="s">
        <v>62</v>
      </c>
      <c r="X40">
        <f t="shared" si="17"/>
        <v>6232.65</v>
      </c>
      <c r="Y40">
        <v>4000</v>
      </c>
      <c r="Z40">
        <f t="shared" si="18"/>
        <v>2232.65</v>
      </c>
      <c r="AA40">
        <v>69.3</v>
      </c>
      <c r="AB40">
        <v>22</v>
      </c>
      <c r="AC40">
        <f t="shared" si="19"/>
        <v>1524.6</v>
      </c>
      <c r="AD40">
        <f t="shared" si="20"/>
        <v>3757.25</v>
      </c>
      <c r="AG40" t="s">
        <v>62</v>
      </c>
      <c r="AH40">
        <v>3757.25</v>
      </c>
      <c r="AI40">
        <v>2000</v>
      </c>
      <c r="AJ40">
        <f t="shared" si="21"/>
        <v>1757.25</v>
      </c>
      <c r="AK40">
        <v>53.3</v>
      </c>
      <c r="AL40">
        <v>41</v>
      </c>
      <c r="AM40">
        <f t="shared" si="22"/>
        <v>2185.3</v>
      </c>
      <c r="AN40">
        <f t="shared" si="23"/>
        <v>3942.55</v>
      </c>
    </row>
    <row r="41" spans="1:40">
      <c r="A41">
        <v>40</v>
      </c>
      <c r="B41" t="s">
        <v>63</v>
      </c>
      <c r="C41">
        <v>56.5</v>
      </c>
      <c r="D41">
        <v>36</v>
      </c>
      <c r="E41">
        <f t="shared" si="0"/>
        <v>2034</v>
      </c>
      <c r="F41">
        <v>100</v>
      </c>
      <c r="G41">
        <v>512</v>
      </c>
      <c r="H41">
        <f t="shared" si="1"/>
        <v>2646</v>
      </c>
      <c r="K41">
        <v>40</v>
      </c>
      <c r="L41" t="s">
        <v>63</v>
      </c>
      <c r="M41">
        <v>66.85</v>
      </c>
      <c r="N41">
        <v>4</v>
      </c>
      <c r="O41">
        <f t="shared" si="13"/>
        <v>2646</v>
      </c>
      <c r="P41">
        <v>980</v>
      </c>
      <c r="Q41">
        <f t="shared" si="14"/>
        <v>1666</v>
      </c>
      <c r="R41">
        <f t="shared" si="15"/>
        <v>267.4</v>
      </c>
      <c r="S41">
        <v>100</v>
      </c>
      <c r="T41">
        <f t="shared" si="16"/>
        <v>2033.4</v>
      </c>
      <c r="W41" t="s">
        <v>63</v>
      </c>
      <c r="X41">
        <f t="shared" si="17"/>
        <v>2033.4</v>
      </c>
      <c r="Z41">
        <f t="shared" si="18"/>
        <v>2033.4</v>
      </c>
      <c r="AA41">
        <v>69.3</v>
      </c>
      <c r="AB41">
        <v>0</v>
      </c>
      <c r="AC41">
        <f t="shared" si="19"/>
        <v>0</v>
      </c>
      <c r="AD41">
        <f t="shared" si="20"/>
        <v>2033.4</v>
      </c>
      <c r="AG41" t="s">
        <v>63</v>
      </c>
      <c r="AH41">
        <v>2033.4</v>
      </c>
      <c r="AI41">
        <v>1500</v>
      </c>
      <c r="AJ41">
        <f t="shared" si="21"/>
        <v>533.4</v>
      </c>
      <c r="AK41">
        <v>53.3</v>
      </c>
      <c r="AL41">
        <v>56</v>
      </c>
      <c r="AM41">
        <f t="shared" si="22"/>
        <v>2984.8</v>
      </c>
      <c r="AN41">
        <f t="shared" si="23"/>
        <v>3518.2</v>
      </c>
    </row>
    <row r="42" spans="1:40">
      <c r="A42">
        <v>41</v>
      </c>
      <c r="B42" t="s">
        <v>64</v>
      </c>
      <c r="C42">
        <v>56.5</v>
      </c>
      <c r="D42">
        <v>45</v>
      </c>
      <c r="E42">
        <f t="shared" si="0"/>
        <v>2542.5</v>
      </c>
      <c r="F42">
        <v>100</v>
      </c>
      <c r="G42">
        <v>4229</v>
      </c>
      <c r="H42">
        <f t="shared" si="1"/>
        <v>6871.5</v>
      </c>
      <c r="K42">
        <v>41</v>
      </c>
      <c r="L42" t="s">
        <v>64</v>
      </c>
      <c r="M42">
        <v>66.85</v>
      </c>
      <c r="N42">
        <v>36</v>
      </c>
      <c r="O42">
        <f t="shared" si="13"/>
        <v>6871.5</v>
      </c>
      <c r="P42">
        <v>4000</v>
      </c>
      <c r="Q42">
        <f t="shared" si="14"/>
        <v>2871.5</v>
      </c>
      <c r="R42">
        <f t="shared" si="15"/>
        <v>2406.6</v>
      </c>
      <c r="S42">
        <v>100</v>
      </c>
      <c r="T42">
        <f t="shared" si="16"/>
        <v>5378.1</v>
      </c>
      <c r="W42" t="s">
        <v>64</v>
      </c>
      <c r="X42">
        <f t="shared" si="17"/>
        <v>5378.1</v>
      </c>
      <c r="Z42">
        <f t="shared" si="18"/>
        <v>5378.1</v>
      </c>
      <c r="AA42">
        <v>69.3</v>
      </c>
      <c r="AB42">
        <v>31</v>
      </c>
      <c r="AC42">
        <f t="shared" si="19"/>
        <v>2148.3</v>
      </c>
      <c r="AD42">
        <f t="shared" si="20"/>
        <v>7526.4</v>
      </c>
      <c r="AG42" t="s">
        <v>64</v>
      </c>
      <c r="AH42">
        <v>7526.4</v>
      </c>
      <c r="AI42">
        <v>2000</v>
      </c>
      <c r="AJ42">
        <f t="shared" si="21"/>
        <v>5526.4</v>
      </c>
      <c r="AK42">
        <v>53.3</v>
      </c>
      <c r="AL42">
        <v>34</v>
      </c>
      <c r="AM42">
        <f t="shared" si="22"/>
        <v>1812.2</v>
      </c>
      <c r="AN42">
        <f t="shared" si="23"/>
        <v>7338.6</v>
      </c>
    </row>
    <row r="43" spans="1:40">
      <c r="A43">
        <v>42</v>
      </c>
      <c r="B43" t="s">
        <v>65</v>
      </c>
      <c r="C43">
        <v>56.5</v>
      </c>
      <c r="D43">
        <v>40</v>
      </c>
      <c r="E43">
        <f t="shared" si="0"/>
        <v>2260</v>
      </c>
      <c r="F43">
        <v>100</v>
      </c>
      <c r="G43">
        <v>438</v>
      </c>
      <c r="H43">
        <f t="shared" si="1"/>
        <v>2798</v>
      </c>
      <c r="K43">
        <v>42</v>
      </c>
      <c r="L43" t="s">
        <v>65</v>
      </c>
      <c r="M43">
        <v>66.85</v>
      </c>
      <c r="N43">
        <v>39</v>
      </c>
      <c r="O43">
        <f t="shared" si="13"/>
        <v>2798</v>
      </c>
      <c r="P43">
        <v>2000</v>
      </c>
      <c r="Q43">
        <f t="shared" si="14"/>
        <v>798</v>
      </c>
      <c r="R43">
        <f t="shared" si="15"/>
        <v>2607.15</v>
      </c>
      <c r="S43">
        <v>100</v>
      </c>
      <c r="T43">
        <f t="shared" si="16"/>
        <v>3505.15</v>
      </c>
      <c r="W43" t="s">
        <v>65</v>
      </c>
      <c r="X43">
        <f t="shared" si="17"/>
        <v>3505.15</v>
      </c>
      <c r="Z43">
        <f t="shared" si="18"/>
        <v>3505.15</v>
      </c>
      <c r="AA43">
        <v>69.3</v>
      </c>
      <c r="AB43">
        <v>19</v>
      </c>
      <c r="AC43">
        <f t="shared" si="19"/>
        <v>1316.7</v>
      </c>
      <c r="AD43">
        <f t="shared" si="20"/>
        <v>4821.85</v>
      </c>
      <c r="AG43" t="s">
        <v>65</v>
      </c>
      <c r="AH43">
        <v>4821.85</v>
      </c>
      <c r="AI43">
        <v>3500</v>
      </c>
      <c r="AJ43">
        <f t="shared" si="21"/>
        <v>1321.85</v>
      </c>
      <c r="AK43">
        <v>53.3</v>
      </c>
      <c r="AL43">
        <v>36</v>
      </c>
      <c r="AM43">
        <f t="shared" si="22"/>
        <v>1918.8</v>
      </c>
      <c r="AN43">
        <f t="shared" si="23"/>
        <v>3240.65</v>
      </c>
    </row>
    <row r="44" spans="1:40">
      <c r="A44">
        <v>43</v>
      </c>
      <c r="B44" t="s">
        <v>66</v>
      </c>
      <c r="C44">
        <v>56.5</v>
      </c>
      <c r="D44">
        <v>40</v>
      </c>
      <c r="E44">
        <f t="shared" si="0"/>
        <v>2260</v>
      </c>
      <c r="F44">
        <v>100</v>
      </c>
      <c r="G44">
        <v>327.5</v>
      </c>
      <c r="H44">
        <f t="shared" si="1"/>
        <v>2687.5</v>
      </c>
      <c r="K44">
        <v>43</v>
      </c>
      <c r="L44" t="s">
        <v>66</v>
      </c>
      <c r="M44">
        <v>66.85</v>
      </c>
      <c r="N44">
        <v>19</v>
      </c>
      <c r="O44">
        <f t="shared" si="13"/>
        <v>2687.5</v>
      </c>
      <c r="P44">
        <v>2000</v>
      </c>
      <c r="Q44">
        <f t="shared" si="14"/>
        <v>687.5</v>
      </c>
      <c r="R44">
        <f t="shared" si="15"/>
        <v>1270.15</v>
      </c>
      <c r="S44">
        <v>100</v>
      </c>
      <c r="T44">
        <f t="shared" si="16"/>
        <v>2057.65</v>
      </c>
      <c r="W44" t="s">
        <v>66</v>
      </c>
      <c r="X44">
        <f t="shared" si="17"/>
        <v>2057.65</v>
      </c>
      <c r="Z44">
        <f t="shared" si="18"/>
        <v>2057.65</v>
      </c>
      <c r="AA44">
        <v>69.3</v>
      </c>
      <c r="AB44">
        <v>13</v>
      </c>
      <c r="AC44">
        <f t="shared" si="19"/>
        <v>900.9</v>
      </c>
      <c r="AD44">
        <f t="shared" si="20"/>
        <v>2958.55</v>
      </c>
      <c r="AG44" t="s">
        <v>66</v>
      </c>
      <c r="AH44">
        <v>2958.55</v>
      </c>
      <c r="AI44">
        <v>2980</v>
      </c>
      <c r="AJ44">
        <f t="shared" si="21"/>
        <v>-21.4499999999998</v>
      </c>
      <c r="AK44">
        <v>53.3</v>
      </c>
      <c r="AL44">
        <v>43</v>
      </c>
      <c r="AM44">
        <f t="shared" si="22"/>
        <v>2291.9</v>
      </c>
      <c r="AN44">
        <f t="shared" si="23"/>
        <v>2270.45</v>
      </c>
    </row>
    <row r="45" spans="1:40">
      <c r="A45">
        <v>44</v>
      </c>
      <c r="B45" t="s">
        <v>67</v>
      </c>
      <c r="C45">
        <v>56.5</v>
      </c>
      <c r="D45">
        <v>15</v>
      </c>
      <c r="E45">
        <f t="shared" si="0"/>
        <v>847.5</v>
      </c>
      <c r="F45">
        <v>100</v>
      </c>
      <c r="G45">
        <v>-48</v>
      </c>
      <c r="H45">
        <f t="shared" si="1"/>
        <v>899.5</v>
      </c>
      <c r="K45">
        <v>44</v>
      </c>
      <c r="L45" t="s">
        <v>67</v>
      </c>
      <c r="M45">
        <v>66.85</v>
      </c>
      <c r="N45">
        <v>12</v>
      </c>
      <c r="O45">
        <v>1199.5</v>
      </c>
      <c r="P45">
        <v>1000</v>
      </c>
      <c r="Q45">
        <f t="shared" si="14"/>
        <v>199.5</v>
      </c>
      <c r="R45">
        <f t="shared" si="15"/>
        <v>802.2</v>
      </c>
      <c r="S45">
        <v>100</v>
      </c>
      <c r="T45">
        <f t="shared" si="16"/>
        <v>1101.7</v>
      </c>
      <c r="W45" t="s">
        <v>67</v>
      </c>
      <c r="X45">
        <f t="shared" si="17"/>
        <v>1101.7</v>
      </c>
      <c r="Z45">
        <f t="shared" si="18"/>
        <v>1101.7</v>
      </c>
      <c r="AA45">
        <v>69.3</v>
      </c>
      <c r="AB45">
        <v>15</v>
      </c>
      <c r="AC45">
        <f t="shared" si="19"/>
        <v>1039.5</v>
      </c>
      <c r="AD45">
        <f t="shared" si="20"/>
        <v>2141.2</v>
      </c>
      <c r="AG45" t="s">
        <v>67</v>
      </c>
      <c r="AH45">
        <v>2141.2</v>
      </c>
      <c r="AI45">
        <v>2000</v>
      </c>
      <c r="AJ45">
        <f t="shared" si="21"/>
        <v>141.2</v>
      </c>
      <c r="AK45">
        <v>53.3</v>
      </c>
      <c r="AL45">
        <v>31</v>
      </c>
      <c r="AM45">
        <f t="shared" si="22"/>
        <v>1652.3</v>
      </c>
      <c r="AN45">
        <f t="shared" si="23"/>
        <v>1793.5</v>
      </c>
    </row>
    <row r="46" spans="1:40">
      <c r="A46">
        <v>45</v>
      </c>
      <c r="B46" t="s">
        <v>68</v>
      </c>
      <c r="C46">
        <v>56.5</v>
      </c>
      <c r="D46">
        <v>17</v>
      </c>
      <c r="E46">
        <f t="shared" si="0"/>
        <v>960.5</v>
      </c>
      <c r="F46">
        <v>400</v>
      </c>
      <c r="G46">
        <v>39.5</v>
      </c>
      <c r="H46">
        <f t="shared" si="1"/>
        <v>1400</v>
      </c>
      <c r="K46">
        <v>45</v>
      </c>
      <c r="L46" t="s">
        <v>68</v>
      </c>
      <c r="M46">
        <v>66.85</v>
      </c>
      <c r="N46">
        <v>1</v>
      </c>
      <c r="O46">
        <f t="shared" si="13"/>
        <v>1400</v>
      </c>
      <c r="P46">
        <v>1400</v>
      </c>
      <c r="Q46">
        <f t="shared" si="14"/>
        <v>0</v>
      </c>
      <c r="R46">
        <f t="shared" si="15"/>
        <v>66.85</v>
      </c>
      <c r="S46">
        <v>100</v>
      </c>
      <c r="T46">
        <f t="shared" si="16"/>
        <v>166.85</v>
      </c>
      <c r="W46" t="s">
        <v>68</v>
      </c>
      <c r="X46">
        <f t="shared" si="17"/>
        <v>166.85</v>
      </c>
      <c r="Z46">
        <f t="shared" si="18"/>
        <v>166.85</v>
      </c>
      <c r="AA46">
        <v>69.3</v>
      </c>
      <c r="AB46">
        <v>5</v>
      </c>
      <c r="AC46">
        <f t="shared" si="19"/>
        <v>346.5</v>
      </c>
      <c r="AD46">
        <f t="shared" si="20"/>
        <v>513.35</v>
      </c>
      <c r="AG46" t="s">
        <v>68</v>
      </c>
      <c r="AH46">
        <v>513.35</v>
      </c>
      <c r="AI46">
        <v>500</v>
      </c>
      <c r="AJ46">
        <f t="shared" si="21"/>
        <v>13.35</v>
      </c>
      <c r="AK46">
        <v>53.3</v>
      </c>
      <c r="AL46">
        <v>23</v>
      </c>
      <c r="AM46">
        <f t="shared" si="22"/>
        <v>1225.9</v>
      </c>
      <c r="AN46">
        <f t="shared" si="23"/>
        <v>1239.25</v>
      </c>
    </row>
    <row r="47" spans="1:40">
      <c r="A47">
        <v>46</v>
      </c>
      <c r="B47" t="s">
        <v>69</v>
      </c>
      <c r="C47">
        <v>56.5</v>
      </c>
      <c r="D47">
        <v>17</v>
      </c>
      <c r="E47">
        <f t="shared" si="0"/>
        <v>960.5</v>
      </c>
      <c r="F47">
        <v>100</v>
      </c>
      <c r="G47">
        <v>38.5</v>
      </c>
      <c r="H47">
        <f t="shared" si="1"/>
        <v>1099</v>
      </c>
      <c r="K47">
        <v>46</v>
      </c>
      <c r="L47" t="s">
        <v>69</v>
      </c>
      <c r="M47">
        <v>66.85</v>
      </c>
      <c r="N47">
        <v>2</v>
      </c>
      <c r="O47">
        <f t="shared" si="13"/>
        <v>1099</v>
      </c>
      <c r="P47">
        <v>1000</v>
      </c>
      <c r="Q47">
        <f t="shared" si="14"/>
        <v>99</v>
      </c>
      <c r="R47">
        <f t="shared" si="15"/>
        <v>133.7</v>
      </c>
      <c r="S47">
        <v>100</v>
      </c>
      <c r="T47">
        <f t="shared" si="16"/>
        <v>332.7</v>
      </c>
      <c r="W47" t="s">
        <v>69</v>
      </c>
      <c r="X47">
        <f t="shared" si="17"/>
        <v>332.7</v>
      </c>
      <c r="Z47">
        <f t="shared" si="18"/>
        <v>332.7</v>
      </c>
      <c r="AA47">
        <v>69.3</v>
      </c>
      <c r="AB47">
        <v>3</v>
      </c>
      <c r="AC47">
        <f t="shared" si="19"/>
        <v>207.9</v>
      </c>
      <c r="AD47">
        <f t="shared" si="20"/>
        <v>540.6</v>
      </c>
      <c r="AG47" t="s">
        <v>69</v>
      </c>
      <c r="AH47">
        <v>540.6</v>
      </c>
      <c r="AI47">
        <v>540</v>
      </c>
      <c r="AJ47">
        <f t="shared" si="21"/>
        <v>0.600000000000023</v>
      </c>
      <c r="AK47">
        <v>53.3</v>
      </c>
      <c r="AL47">
        <v>16</v>
      </c>
      <c r="AM47">
        <f t="shared" si="22"/>
        <v>852.8</v>
      </c>
      <c r="AN47">
        <f t="shared" si="23"/>
        <v>853.4</v>
      </c>
    </row>
    <row r="48" spans="1:40">
      <c r="A48">
        <v>47</v>
      </c>
      <c r="B48" t="s">
        <v>70</v>
      </c>
      <c r="C48">
        <v>56.5</v>
      </c>
      <c r="D48">
        <v>3</v>
      </c>
      <c r="E48">
        <f t="shared" si="0"/>
        <v>169.5</v>
      </c>
      <c r="F48">
        <v>100</v>
      </c>
      <c r="G48">
        <v>8804</v>
      </c>
      <c r="H48">
        <f t="shared" si="1"/>
        <v>9073.5</v>
      </c>
      <c r="K48">
        <v>47</v>
      </c>
      <c r="L48" t="s">
        <v>70</v>
      </c>
      <c r="M48">
        <v>66.85</v>
      </c>
      <c r="N48">
        <v>0</v>
      </c>
      <c r="O48">
        <f t="shared" si="13"/>
        <v>9073.5</v>
      </c>
      <c r="P48">
        <v>0</v>
      </c>
      <c r="Q48">
        <f t="shared" si="14"/>
        <v>9073.5</v>
      </c>
      <c r="R48">
        <f t="shared" si="15"/>
        <v>0</v>
      </c>
      <c r="S48">
        <v>100</v>
      </c>
      <c r="T48">
        <f t="shared" si="16"/>
        <v>9173.5</v>
      </c>
      <c r="W48" t="s">
        <v>70</v>
      </c>
      <c r="X48">
        <f t="shared" si="17"/>
        <v>9173.5</v>
      </c>
      <c r="Z48">
        <f t="shared" si="18"/>
        <v>9173.5</v>
      </c>
      <c r="AA48">
        <v>69.3</v>
      </c>
      <c r="AB48">
        <v>19</v>
      </c>
      <c r="AC48">
        <f t="shared" si="19"/>
        <v>1316.7</v>
      </c>
      <c r="AD48">
        <f t="shared" si="20"/>
        <v>10490.2</v>
      </c>
      <c r="AG48" t="s">
        <v>70</v>
      </c>
      <c r="AH48">
        <v>10490.2</v>
      </c>
      <c r="AI48">
        <v>1300</v>
      </c>
      <c r="AJ48">
        <f t="shared" si="21"/>
        <v>9190.2</v>
      </c>
      <c r="AK48">
        <v>53.3</v>
      </c>
      <c r="AL48">
        <v>41</v>
      </c>
      <c r="AM48">
        <f t="shared" si="22"/>
        <v>2185.3</v>
      </c>
      <c r="AN48">
        <f t="shared" si="23"/>
        <v>11375.5</v>
      </c>
    </row>
    <row r="49" spans="1:40">
      <c r="A49">
        <v>48</v>
      </c>
      <c r="B49" t="s">
        <v>71</v>
      </c>
      <c r="C49">
        <v>56.5</v>
      </c>
      <c r="D49">
        <v>40</v>
      </c>
      <c r="E49">
        <f t="shared" si="0"/>
        <v>2260</v>
      </c>
      <c r="F49">
        <v>100</v>
      </c>
      <c r="G49">
        <v>151.5</v>
      </c>
      <c r="H49">
        <f t="shared" si="1"/>
        <v>2511.5</v>
      </c>
      <c r="K49">
        <v>48</v>
      </c>
      <c r="L49" t="s">
        <v>71</v>
      </c>
      <c r="M49">
        <v>66.85</v>
      </c>
      <c r="N49">
        <v>2</v>
      </c>
      <c r="O49">
        <f t="shared" si="13"/>
        <v>2511.5</v>
      </c>
      <c r="P49">
        <v>2450</v>
      </c>
      <c r="Q49">
        <f t="shared" si="14"/>
        <v>61.5</v>
      </c>
      <c r="R49">
        <f t="shared" si="15"/>
        <v>133.7</v>
      </c>
      <c r="S49">
        <v>100</v>
      </c>
      <c r="T49">
        <f t="shared" si="16"/>
        <v>295.2</v>
      </c>
      <c r="W49" t="s">
        <v>71</v>
      </c>
      <c r="X49">
        <f t="shared" si="17"/>
        <v>295.2</v>
      </c>
      <c r="Z49">
        <f t="shared" si="18"/>
        <v>295.2</v>
      </c>
      <c r="AA49">
        <v>69.3</v>
      </c>
      <c r="AB49">
        <v>0</v>
      </c>
      <c r="AC49">
        <f t="shared" si="19"/>
        <v>0</v>
      </c>
      <c r="AD49">
        <f t="shared" si="20"/>
        <v>295.2</v>
      </c>
      <c r="AG49" t="s">
        <v>71</v>
      </c>
      <c r="AH49">
        <v>295.2</v>
      </c>
      <c r="AI49">
        <v>0</v>
      </c>
      <c r="AJ49">
        <f t="shared" si="21"/>
        <v>295.2</v>
      </c>
      <c r="AK49">
        <v>53.3</v>
      </c>
      <c r="AL49">
        <v>45</v>
      </c>
      <c r="AM49">
        <f t="shared" si="22"/>
        <v>2398.5</v>
      </c>
      <c r="AN49">
        <f t="shared" si="23"/>
        <v>2693.7</v>
      </c>
    </row>
    <row r="50" spans="1:40">
      <c r="A50">
        <v>49</v>
      </c>
      <c r="B50" t="s">
        <v>72</v>
      </c>
      <c r="C50">
        <v>56.5</v>
      </c>
      <c r="D50">
        <v>16</v>
      </c>
      <c r="E50">
        <f t="shared" si="0"/>
        <v>904</v>
      </c>
      <c r="F50">
        <v>100</v>
      </c>
      <c r="G50">
        <v>690</v>
      </c>
      <c r="H50">
        <f t="shared" si="1"/>
        <v>1694</v>
      </c>
      <c r="K50">
        <v>49</v>
      </c>
      <c r="L50" t="s">
        <v>72</v>
      </c>
      <c r="M50">
        <v>66.85</v>
      </c>
      <c r="N50">
        <v>12</v>
      </c>
      <c r="O50">
        <f t="shared" si="13"/>
        <v>1694</v>
      </c>
      <c r="P50">
        <v>1400</v>
      </c>
      <c r="Q50">
        <f t="shared" si="14"/>
        <v>294</v>
      </c>
      <c r="R50">
        <f t="shared" si="15"/>
        <v>802.2</v>
      </c>
      <c r="S50">
        <v>100</v>
      </c>
      <c r="T50">
        <f t="shared" si="16"/>
        <v>1196.2</v>
      </c>
      <c r="W50" t="s">
        <v>72</v>
      </c>
      <c r="X50">
        <f t="shared" si="17"/>
        <v>1196.2</v>
      </c>
      <c r="Z50">
        <f t="shared" si="18"/>
        <v>1196.2</v>
      </c>
      <c r="AA50">
        <v>69.3</v>
      </c>
      <c r="AB50">
        <v>17</v>
      </c>
      <c r="AC50">
        <f t="shared" si="19"/>
        <v>1178.1</v>
      </c>
      <c r="AD50">
        <f t="shared" si="20"/>
        <v>2374.3</v>
      </c>
      <c r="AG50" t="s">
        <v>72</v>
      </c>
      <c r="AH50">
        <v>2374.3</v>
      </c>
      <c r="AI50">
        <v>1900</v>
      </c>
      <c r="AJ50">
        <f t="shared" si="21"/>
        <v>474.3</v>
      </c>
      <c r="AK50">
        <v>53.3</v>
      </c>
      <c r="AL50">
        <v>28</v>
      </c>
      <c r="AM50">
        <f t="shared" si="22"/>
        <v>1492.4</v>
      </c>
      <c r="AN50">
        <f t="shared" si="23"/>
        <v>1966.7</v>
      </c>
    </row>
    <row r="51" spans="1:40">
      <c r="A51">
        <v>50</v>
      </c>
      <c r="B51" t="s">
        <v>73</v>
      </c>
      <c r="C51">
        <v>56.5</v>
      </c>
      <c r="D51">
        <v>38</v>
      </c>
      <c r="E51">
        <f t="shared" si="0"/>
        <v>2147</v>
      </c>
      <c r="F51">
        <v>400</v>
      </c>
      <c r="G51">
        <v>10</v>
      </c>
      <c r="H51">
        <f t="shared" si="1"/>
        <v>2557</v>
      </c>
      <c r="K51">
        <v>50</v>
      </c>
      <c r="L51" t="s">
        <v>73</v>
      </c>
      <c r="M51">
        <v>66.85</v>
      </c>
      <c r="N51">
        <v>5</v>
      </c>
      <c r="O51">
        <f t="shared" si="13"/>
        <v>2557</v>
      </c>
      <c r="P51">
        <v>0</v>
      </c>
      <c r="Q51">
        <f t="shared" si="14"/>
        <v>2557</v>
      </c>
      <c r="R51">
        <f t="shared" si="15"/>
        <v>334.25</v>
      </c>
      <c r="S51">
        <v>100</v>
      </c>
      <c r="T51">
        <f t="shared" si="16"/>
        <v>2991.25</v>
      </c>
      <c r="W51" t="s">
        <v>73</v>
      </c>
      <c r="X51">
        <f t="shared" si="17"/>
        <v>2991.25</v>
      </c>
      <c r="Y51">
        <v>3000</v>
      </c>
      <c r="Z51">
        <f t="shared" si="18"/>
        <v>-8.75</v>
      </c>
      <c r="AA51">
        <v>69.3</v>
      </c>
      <c r="AB51">
        <v>8</v>
      </c>
      <c r="AC51">
        <f t="shared" si="19"/>
        <v>554.4</v>
      </c>
      <c r="AD51">
        <f t="shared" si="20"/>
        <v>545.65</v>
      </c>
      <c r="AG51" t="s">
        <v>73</v>
      </c>
      <c r="AH51">
        <v>545.65</v>
      </c>
      <c r="AI51">
        <v>0</v>
      </c>
      <c r="AJ51">
        <f t="shared" si="21"/>
        <v>545.65</v>
      </c>
      <c r="AK51">
        <v>53.3</v>
      </c>
      <c r="AL51">
        <v>22</v>
      </c>
      <c r="AM51">
        <f t="shared" si="22"/>
        <v>1172.6</v>
      </c>
      <c r="AN51">
        <f t="shared" si="23"/>
        <v>1718.25</v>
      </c>
    </row>
    <row r="52" spans="1:40">
      <c r="A52">
        <v>51</v>
      </c>
      <c r="B52" t="s">
        <v>74</v>
      </c>
      <c r="C52">
        <v>56.5</v>
      </c>
      <c r="D52">
        <v>15</v>
      </c>
      <c r="E52">
        <f t="shared" si="0"/>
        <v>847.5</v>
      </c>
      <c r="F52">
        <v>400</v>
      </c>
      <c r="G52">
        <v>-124</v>
      </c>
      <c r="H52">
        <f t="shared" si="1"/>
        <v>1123.5</v>
      </c>
      <c r="K52">
        <v>51</v>
      </c>
      <c r="L52" t="s">
        <v>74</v>
      </c>
      <c r="M52">
        <v>66.85</v>
      </c>
      <c r="N52">
        <v>3</v>
      </c>
      <c r="O52">
        <f t="shared" si="13"/>
        <v>1123.5</v>
      </c>
      <c r="P52">
        <v>1130</v>
      </c>
      <c r="Q52">
        <f t="shared" si="14"/>
        <v>-6.5</v>
      </c>
      <c r="R52">
        <f t="shared" si="15"/>
        <v>200.55</v>
      </c>
      <c r="S52">
        <v>100</v>
      </c>
      <c r="T52">
        <f t="shared" si="16"/>
        <v>294.05</v>
      </c>
      <c r="W52" t="s">
        <v>74</v>
      </c>
      <c r="X52">
        <f t="shared" si="17"/>
        <v>294.05</v>
      </c>
      <c r="Z52">
        <f t="shared" si="18"/>
        <v>294.05</v>
      </c>
      <c r="AA52">
        <v>69.3</v>
      </c>
      <c r="AB52">
        <v>9</v>
      </c>
      <c r="AC52">
        <f t="shared" si="19"/>
        <v>623.7</v>
      </c>
      <c r="AD52">
        <f t="shared" si="20"/>
        <v>917.75</v>
      </c>
      <c r="AG52" t="s">
        <v>74</v>
      </c>
      <c r="AH52">
        <v>917.75</v>
      </c>
      <c r="AI52">
        <v>917</v>
      </c>
      <c r="AJ52">
        <f t="shared" si="21"/>
        <v>0.75</v>
      </c>
      <c r="AK52">
        <v>53.3</v>
      </c>
      <c r="AL52">
        <v>24</v>
      </c>
      <c r="AM52">
        <f t="shared" si="22"/>
        <v>1279.2</v>
      </c>
      <c r="AN52">
        <f t="shared" si="23"/>
        <v>1279.95</v>
      </c>
    </row>
    <row r="53" spans="1:40">
      <c r="A53">
        <v>52</v>
      </c>
      <c r="B53" t="s">
        <v>75</v>
      </c>
      <c r="C53">
        <v>56.5</v>
      </c>
      <c r="D53">
        <v>20</v>
      </c>
      <c r="E53">
        <f t="shared" si="0"/>
        <v>1130</v>
      </c>
      <c r="F53">
        <v>100</v>
      </c>
      <c r="G53">
        <v>0</v>
      </c>
      <c r="H53">
        <f t="shared" si="1"/>
        <v>1230</v>
      </c>
      <c r="K53">
        <v>52</v>
      </c>
      <c r="L53" t="s">
        <v>75</v>
      </c>
      <c r="M53">
        <v>66.85</v>
      </c>
      <c r="N53">
        <v>4</v>
      </c>
      <c r="O53">
        <f t="shared" si="13"/>
        <v>1230</v>
      </c>
      <c r="P53">
        <v>1180</v>
      </c>
      <c r="Q53">
        <f t="shared" si="14"/>
        <v>50</v>
      </c>
      <c r="R53">
        <f t="shared" si="15"/>
        <v>267.4</v>
      </c>
      <c r="S53">
        <v>100</v>
      </c>
      <c r="T53">
        <f t="shared" si="16"/>
        <v>417.4</v>
      </c>
      <c r="W53" t="s">
        <v>75</v>
      </c>
      <c r="X53">
        <f t="shared" si="17"/>
        <v>417.4</v>
      </c>
      <c r="Y53">
        <v>417</v>
      </c>
      <c r="Z53">
        <f t="shared" si="18"/>
        <v>0.399999999999977</v>
      </c>
      <c r="AA53">
        <v>69.3</v>
      </c>
      <c r="AB53">
        <v>14</v>
      </c>
      <c r="AC53">
        <f t="shared" si="19"/>
        <v>970.2</v>
      </c>
      <c r="AD53">
        <f t="shared" si="20"/>
        <v>970.6</v>
      </c>
      <c r="AG53" t="s">
        <v>75</v>
      </c>
      <c r="AH53">
        <v>970.6</v>
      </c>
      <c r="AI53">
        <v>570</v>
      </c>
      <c r="AJ53">
        <f t="shared" si="21"/>
        <v>400.6</v>
      </c>
      <c r="AK53">
        <v>53.3</v>
      </c>
      <c r="AL53">
        <v>24</v>
      </c>
      <c r="AM53">
        <f t="shared" si="22"/>
        <v>1279.2</v>
      </c>
      <c r="AN53">
        <f t="shared" si="23"/>
        <v>1679.8</v>
      </c>
    </row>
    <row r="54" spans="1:40">
      <c r="A54">
        <v>53</v>
      </c>
      <c r="B54" t="s">
        <v>76</v>
      </c>
      <c r="C54">
        <v>56.5</v>
      </c>
      <c r="D54">
        <v>36</v>
      </c>
      <c r="E54">
        <f t="shared" si="0"/>
        <v>2034</v>
      </c>
      <c r="F54">
        <v>100</v>
      </c>
      <c r="G54">
        <v>16</v>
      </c>
      <c r="H54">
        <f t="shared" si="1"/>
        <v>2150</v>
      </c>
      <c r="K54">
        <v>53</v>
      </c>
      <c r="L54" t="s">
        <v>76</v>
      </c>
      <c r="M54">
        <v>66.85</v>
      </c>
      <c r="N54">
        <v>5</v>
      </c>
      <c r="O54">
        <f t="shared" si="13"/>
        <v>2150</v>
      </c>
      <c r="P54">
        <v>1300</v>
      </c>
      <c r="Q54">
        <f t="shared" si="14"/>
        <v>850</v>
      </c>
      <c r="R54">
        <f t="shared" si="15"/>
        <v>334.25</v>
      </c>
      <c r="S54">
        <v>100</v>
      </c>
      <c r="T54">
        <f t="shared" si="16"/>
        <v>1284.25</v>
      </c>
      <c r="W54" t="s">
        <v>76</v>
      </c>
      <c r="X54">
        <f t="shared" si="17"/>
        <v>1284.25</v>
      </c>
      <c r="Z54">
        <f t="shared" si="18"/>
        <v>1284.25</v>
      </c>
      <c r="AA54">
        <v>69.3</v>
      </c>
      <c r="AB54">
        <v>8</v>
      </c>
      <c r="AC54">
        <f t="shared" si="19"/>
        <v>554.4</v>
      </c>
      <c r="AD54">
        <f t="shared" si="20"/>
        <v>1838.65</v>
      </c>
      <c r="AG54" t="s">
        <v>76</v>
      </c>
      <c r="AH54">
        <v>1838.65</v>
      </c>
      <c r="AI54">
        <v>1500</v>
      </c>
      <c r="AJ54">
        <f t="shared" si="21"/>
        <v>338.65</v>
      </c>
      <c r="AK54">
        <v>53.3</v>
      </c>
      <c r="AL54">
        <v>25</v>
      </c>
      <c r="AM54">
        <f t="shared" si="22"/>
        <v>1332.5</v>
      </c>
      <c r="AN54">
        <f t="shared" si="23"/>
        <v>1671.15</v>
      </c>
    </row>
    <row r="55" spans="1:40">
      <c r="A55">
        <v>54</v>
      </c>
      <c r="B55" t="s">
        <v>77</v>
      </c>
      <c r="C55">
        <v>56.5</v>
      </c>
      <c r="D55">
        <v>34</v>
      </c>
      <c r="E55">
        <f t="shared" si="0"/>
        <v>1921</v>
      </c>
      <c r="F55">
        <v>100</v>
      </c>
      <c r="G55">
        <v>-25</v>
      </c>
      <c r="H55">
        <f t="shared" si="1"/>
        <v>1996</v>
      </c>
      <c r="K55">
        <v>54</v>
      </c>
      <c r="L55" t="s">
        <v>77</v>
      </c>
      <c r="M55">
        <v>66.85</v>
      </c>
      <c r="N55">
        <v>5</v>
      </c>
      <c r="O55">
        <f t="shared" si="13"/>
        <v>1996</v>
      </c>
      <c r="P55">
        <v>2000</v>
      </c>
      <c r="Q55">
        <f t="shared" si="14"/>
        <v>-4</v>
      </c>
      <c r="R55">
        <f t="shared" si="15"/>
        <v>334.25</v>
      </c>
      <c r="S55">
        <v>100</v>
      </c>
      <c r="T55">
        <f t="shared" si="16"/>
        <v>430.25</v>
      </c>
      <c r="W55" t="s">
        <v>77</v>
      </c>
      <c r="X55">
        <f t="shared" si="17"/>
        <v>430.25</v>
      </c>
      <c r="Z55">
        <f t="shared" si="18"/>
        <v>430.25</v>
      </c>
      <c r="AA55">
        <v>69.3</v>
      </c>
      <c r="AB55">
        <v>9</v>
      </c>
      <c r="AC55">
        <f t="shared" si="19"/>
        <v>623.7</v>
      </c>
      <c r="AD55">
        <f t="shared" si="20"/>
        <v>1053.95</v>
      </c>
      <c r="AG55" t="s">
        <v>77</v>
      </c>
      <c r="AH55">
        <v>1053.95</v>
      </c>
      <c r="AI55">
        <v>1050</v>
      </c>
      <c r="AJ55">
        <f t="shared" si="21"/>
        <v>3.95000000000005</v>
      </c>
      <c r="AK55">
        <v>53.3</v>
      </c>
      <c r="AL55">
        <v>33</v>
      </c>
      <c r="AM55">
        <f t="shared" si="22"/>
        <v>1758.9</v>
      </c>
      <c r="AN55">
        <f t="shared" si="23"/>
        <v>1762.85</v>
      </c>
    </row>
    <row r="56" spans="1:40">
      <c r="A56">
        <v>55</v>
      </c>
      <c r="B56" t="s">
        <v>78</v>
      </c>
      <c r="C56">
        <v>56.5</v>
      </c>
      <c r="D56">
        <v>39</v>
      </c>
      <c r="E56">
        <f t="shared" si="0"/>
        <v>2203.5</v>
      </c>
      <c r="F56">
        <v>100</v>
      </c>
      <c r="G56">
        <v>335</v>
      </c>
      <c r="H56">
        <f t="shared" si="1"/>
        <v>2638.5</v>
      </c>
      <c r="K56">
        <v>55</v>
      </c>
      <c r="L56" t="s">
        <v>78</v>
      </c>
      <c r="M56">
        <v>66.85</v>
      </c>
      <c r="N56">
        <v>39</v>
      </c>
      <c r="O56">
        <f t="shared" si="13"/>
        <v>2638.5</v>
      </c>
      <c r="P56">
        <v>2500</v>
      </c>
      <c r="Q56">
        <f t="shared" si="14"/>
        <v>138.5</v>
      </c>
      <c r="R56">
        <f t="shared" si="15"/>
        <v>2607.15</v>
      </c>
      <c r="S56">
        <v>100</v>
      </c>
      <c r="T56">
        <f t="shared" si="16"/>
        <v>2845.65</v>
      </c>
      <c r="W56" t="s">
        <v>78</v>
      </c>
      <c r="X56">
        <f t="shared" si="17"/>
        <v>2845.65</v>
      </c>
      <c r="Y56">
        <v>2500</v>
      </c>
      <c r="Z56">
        <f t="shared" si="18"/>
        <v>345.65</v>
      </c>
      <c r="AA56">
        <v>69.3</v>
      </c>
      <c r="AB56">
        <v>16</v>
      </c>
      <c r="AC56">
        <f t="shared" si="19"/>
        <v>1108.8</v>
      </c>
      <c r="AD56">
        <f t="shared" si="20"/>
        <v>1454.45</v>
      </c>
      <c r="AG56" t="s">
        <v>78</v>
      </c>
      <c r="AH56">
        <v>1454.45</v>
      </c>
      <c r="AI56">
        <v>1500</v>
      </c>
      <c r="AJ56">
        <f t="shared" si="21"/>
        <v>-45.55</v>
      </c>
      <c r="AK56">
        <v>53.3</v>
      </c>
      <c r="AL56">
        <v>51</v>
      </c>
      <c r="AM56">
        <f t="shared" si="22"/>
        <v>2718.3</v>
      </c>
      <c r="AN56">
        <f t="shared" si="23"/>
        <v>2672.75</v>
      </c>
    </row>
    <row r="57" spans="1:40">
      <c r="A57">
        <v>56</v>
      </c>
      <c r="B57" t="s">
        <v>79</v>
      </c>
      <c r="C57">
        <v>56.5</v>
      </c>
      <c r="D57">
        <v>44</v>
      </c>
      <c r="E57">
        <f t="shared" si="0"/>
        <v>2486</v>
      </c>
      <c r="F57">
        <v>100</v>
      </c>
      <c r="G57">
        <v>4840</v>
      </c>
      <c r="H57">
        <f t="shared" si="1"/>
        <v>7426</v>
      </c>
      <c r="K57">
        <v>56</v>
      </c>
      <c r="L57" t="s">
        <v>79</v>
      </c>
      <c r="M57">
        <v>66.85</v>
      </c>
      <c r="N57">
        <v>23</v>
      </c>
      <c r="O57">
        <f t="shared" si="13"/>
        <v>7426</v>
      </c>
      <c r="P57">
        <v>0</v>
      </c>
      <c r="Q57">
        <f t="shared" si="14"/>
        <v>7426</v>
      </c>
      <c r="R57">
        <f t="shared" si="15"/>
        <v>1537.55</v>
      </c>
      <c r="S57">
        <v>100</v>
      </c>
      <c r="T57">
        <f t="shared" si="16"/>
        <v>9063.55</v>
      </c>
      <c r="W57" t="s">
        <v>79</v>
      </c>
      <c r="X57">
        <f t="shared" si="17"/>
        <v>9063.55</v>
      </c>
      <c r="Y57">
        <v>6000</v>
      </c>
      <c r="Z57">
        <f t="shared" si="18"/>
        <v>3063.55</v>
      </c>
      <c r="AA57">
        <v>69.3</v>
      </c>
      <c r="AB57">
        <v>20</v>
      </c>
      <c r="AC57">
        <f t="shared" si="19"/>
        <v>1386</v>
      </c>
      <c r="AD57">
        <f t="shared" si="20"/>
        <v>4449.55</v>
      </c>
      <c r="AG57" t="s">
        <v>79</v>
      </c>
      <c r="AH57">
        <v>4449.55</v>
      </c>
      <c r="AI57">
        <v>0</v>
      </c>
      <c r="AJ57">
        <f t="shared" si="21"/>
        <v>4449.55</v>
      </c>
      <c r="AK57">
        <v>53.3</v>
      </c>
      <c r="AL57">
        <v>42</v>
      </c>
      <c r="AM57">
        <f t="shared" si="22"/>
        <v>2238.6</v>
      </c>
      <c r="AN57">
        <f t="shared" si="23"/>
        <v>6688.15</v>
      </c>
    </row>
    <row r="58" spans="1:40">
      <c r="A58">
        <v>57</v>
      </c>
      <c r="B58" t="s">
        <v>80</v>
      </c>
      <c r="C58">
        <v>56.5</v>
      </c>
      <c r="D58">
        <v>38</v>
      </c>
      <c r="E58">
        <f t="shared" si="0"/>
        <v>2147</v>
      </c>
      <c r="F58">
        <v>100</v>
      </c>
      <c r="G58">
        <v>3740</v>
      </c>
      <c r="H58">
        <f t="shared" si="1"/>
        <v>5987</v>
      </c>
      <c r="K58">
        <v>57</v>
      </c>
      <c r="L58" t="s">
        <v>80</v>
      </c>
      <c r="M58">
        <v>66.85</v>
      </c>
      <c r="N58">
        <v>17</v>
      </c>
      <c r="O58">
        <f t="shared" si="13"/>
        <v>5987</v>
      </c>
      <c r="P58">
        <v>2000</v>
      </c>
      <c r="Q58">
        <f t="shared" si="14"/>
        <v>3987</v>
      </c>
      <c r="R58">
        <f t="shared" si="15"/>
        <v>1136.45</v>
      </c>
      <c r="S58">
        <v>100</v>
      </c>
      <c r="T58">
        <f t="shared" si="16"/>
        <v>5223.45</v>
      </c>
      <c r="W58" t="s">
        <v>80</v>
      </c>
      <c r="X58">
        <f t="shared" si="17"/>
        <v>5223.45</v>
      </c>
      <c r="Z58">
        <f t="shared" si="18"/>
        <v>5223.45</v>
      </c>
      <c r="AA58">
        <v>69.3</v>
      </c>
      <c r="AB58">
        <v>6</v>
      </c>
      <c r="AC58">
        <f t="shared" si="19"/>
        <v>415.8</v>
      </c>
      <c r="AD58">
        <f t="shared" si="20"/>
        <v>5639.25</v>
      </c>
      <c r="AG58" t="s">
        <v>80</v>
      </c>
      <c r="AH58">
        <v>5639.25</v>
      </c>
      <c r="AI58">
        <v>1375</v>
      </c>
      <c r="AJ58">
        <f t="shared" si="21"/>
        <v>4264.25</v>
      </c>
      <c r="AK58">
        <v>53.3</v>
      </c>
      <c r="AL58">
        <v>38</v>
      </c>
      <c r="AM58">
        <f t="shared" si="22"/>
        <v>2025.4</v>
      </c>
      <c r="AN58">
        <f t="shared" si="23"/>
        <v>6289.65</v>
      </c>
    </row>
    <row r="59" spans="1:40">
      <c r="A59">
        <v>58</v>
      </c>
      <c r="B59" t="s">
        <v>81</v>
      </c>
      <c r="C59">
        <v>56.5</v>
      </c>
      <c r="D59">
        <v>42</v>
      </c>
      <c r="E59">
        <f t="shared" si="0"/>
        <v>2373</v>
      </c>
      <c r="F59">
        <v>100</v>
      </c>
      <c r="G59">
        <v>369.5</v>
      </c>
      <c r="H59">
        <f t="shared" si="1"/>
        <v>2842.5</v>
      </c>
      <c r="K59">
        <v>58</v>
      </c>
      <c r="L59" t="s">
        <v>81</v>
      </c>
      <c r="M59">
        <v>66.85</v>
      </c>
      <c r="N59">
        <v>15</v>
      </c>
      <c r="O59">
        <f t="shared" si="13"/>
        <v>2842.5</v>
      </c>
      <c r="P59">
        <v>1500</v>
      </c>
      <c r="Q59">
        <f t="shared" si="14"/>
        <v>1342.5</v>
      </c>
      <c r="R59">
        <f t="shared" si="15"/>
        <v>1002.75</v>
      </c>
      <c r="S59">
        <v>100</v>
      </c>
      <c r="T59">
        <f t="shared" si="16"/>
        <v>2445.25</v>
      </c>
      <c r="W59" t="s">
        <v>81</v>
      </c>
      <c r="X59">
        <f t="shared" si="17"/>
        <v>2445.25</v>
      </c>
      <c r="Z59">
        <f t="shared" si="18"/>
        <v>2445.25</v>
      </c>
      <c r="AA59">
        <v>69.3</v>
      </c>
      <c r="AB59">
        <v>4</v>
      </c>
      <c r="AC59">
        <f t="shared" si="19"/>
        <v>277.2</v>
      </c>
      <c r="AD59">
        <f t="shared" si="20"/>
        <v>2722.45</v>
      </c>
      <c r="AG59" t="s">
        <v>81</v>
      </c>
      <c r="AH59">
        <v>2722.45</v>
      </c>
      <c r="AI59">
        <v>0</v>
      </c>
      <c r="AJ59">
        <f t="shared" si="21"/>
        <v>2722.45</v>
      </c>
      <c r="AK59">
        <v>53.3</v>
      </c>
      <c r="AL59">
        <v>41</v>
      </c>
      <c r="AM59">
        <f t="shared" si="22"/>
        <v>2185.3</v>
      </c>
      <c r="AN59">
        <f t="shared" si="23"/>
        <v>4907.75</v>
      </c>
    </row>
    <row r="60" spans="1:40">
      <c r="A60">
        <v>59</v>
      </c>
      <c r="B60" t="s">
        <v>82</v>
      </c>
      <c r="C60">
        <v>56.5</v>
      </c>
      <c r="D60">
        <v>49</v>
      </c>
      <c r="E60">
        <f t="shared" si="0"/>
        <v>2768.5</v>
      </c>
      <c r="F60">
        <v>100</v>
      </c>
      <c r="G60">
        <v>98</v>
      </c>
      <c r="H60">
        <f t="shared" si="1"/>
        <v>2966.5</v>
      </c>
      <c r="K60">
        <v>59</v>
      </c>
      <c r="L60" t="s">
        <v>82</v>
      </c>
      <c r="M60">
        <v>66.85</v>
      </c>
      <c r="N60">
        <v>11</v>
      </c>
      <c r="O60">
        <f t="shared" si="13"/>
        <v>2966.5</v>
      </c>
      <c r="P60">
        <v>2000</v>
      </c>
      <c r="Q60">
        <f t="shared" si="14"/>
        <v>966.5</v>
      </c>
      <c r="R60">
        <f t="shared" si="15"/>
        <v>735.35</v>
      </c>
      <c r="S60">
        <v>100</v>
      </c>
      <c r="T60">
        <f t="shared" si="16"/>
        <v>1801.85</v>
      </c>
      <c r="W60" t="s">
        <v>82</v>
      </c>
      <c r="X60">
        <f t="shared" si="17"/>
        <v>1801.85</v>
      </c>
      <c r="Z60">
        <f t="shared" si="18"/>
        <v>1801.85</v>
      </c>
      <c r="AA60">
        <v>69.3</v>
      </c>
      <c r="AB60">
        <v>3</v>
      </c>
      <c r="AC60">
        <f t="shared" si="19"/>
        <v>207.9</v>
      </c>
      <c r="AD60">
        <f t="shared" si="20"/>
        <v>2009.75</v>
      </c>
      <c r="AG60" t="s">
        <v>82</v>
      </c>
      <c r="AH60">
        <v>2009.75</v>
      </c>
      <c r="AI60">
        <v>2000</v>
      </c>
      <c r="AJ60">
        <f t="shared" si="21"/>
        <v>9.75</v>
      </c>
      <c r="AK60">
        <v>53.3</v>
      </c>
      <c r="AL60">
        <v>45</v>
      </c>
      <c r="AM60">
        <f t="shared" si="22"/>
        <v>2398.5</v>
      </c>
      <c r="AN60">
        <f t="shared" si="23"/>
        <v>2408.25</v>
      </c>
    </row>
    <row r="61" spans="1:40">
      <c r="A61">
        <v>60</v>
      </c>
      <c r="B61" t="s">
        <v>83</v>
      </c>
      <c r="C61">
        <v>56.5</v>
      </c>
      <c r="D61">
        <v>42</v>
      </c>
      <c r="E61">
        <f t="shared" si="0"/>
        <v>2373</v>
      </c>
      <c r="F61">
        <v>100</v>
      </c>
      <c r="G61">
        <v>-225</v>
      </c>
      <c r="H61">
        <f t="shared" si="1"/>
        <v>2248</v>
      </c>
      <c r="K61">
        <v>60</v>
      </c>
      <c r="L61" t="s">
        <v>83</v>
      </c>
      <c r="M61">
        <v>66.85</v>
      </c>
      <c r="N61">
        <v>24</v>
      </c>
      <c r="O61">
        <f t="shared" si="13"/>
        <v>2248</v>
      </c>
      <c r="P61">
        <v>2000</v>
      </c>
      <c r="Q61">
        <f t="shared" si="14"/>
        <v>248</v>
      </c>
      <c r="R61">
        <f t="shared" si="15"/>
        <v>1604.4</v>
      </c>
      <c r="S61">
        <v>100</v>
      </c>
      <c r="T61">
        <f t="shared" si="16"/>
        <v>1952.4</v>
      </c>
      <c r="W61" t="s">
        <v>83</v>
      </c>
      <c r="X61">
        <f t="shared" si="17"/>
        <v>1952.4</v>
      </c>
      <c r="Y61">
        <v>2000</v>
      </c>
      <c r="Z61">
        <f t="shared" si="18"/>
        <v>-47.5999999999999</v>
      </c>
      <c r="AA61">
        <v>69.3</v>
      </c>
      <c r="AB61">
        <v>24</v>
      </c>
      <c r="AC61">
        <f t="shared" si="19"/>
        <v>1663.2</v>
      </c>
      <c r="AD61">
        <f t="shared" si="20"/>
        <v>1615.6</v>
      </c>
      <c r="AG61" t="s">
        <v>83</v>
      </c>
      <c r="AH61">
        <v>1615.6</v>
      </c>
      <c r="AI61">
        <v>1700</v>
      </c>
      <c r="AJ61">
        <f t="shared" si="21"/>
        <v>-84.4000000000001</v>
      </c>
      <c r="AK61">
        <v>53.3</v>
      </c>
      <c r="AL61">
        <v>39</v>
      </c>
      <c r="AM61">
        <f t="shared" si="22"/>
        <v>2078.7</v>
      </c>
      <c r="AN61">
        <f t="shared" si="23"/>
        <v>1994.3</v>
      </c>
    </row>
    <row r="62" spans="1:40">
      <c r="A62">
        <v>61</v>
      </c>
      <c r="B62" t="s">
        <v>84</v>
      </c>
      <c r="C62">
        <v>56.5</v>
      </c>
      <c r="D62">
        <v>28</v>
      </c>
      <c r="E62">
        <f t="shared" si="0"/>
        <v>1582</v>
      </c>
      <c r="F62">
        <v>100</v>
      </c>
      <c r="G62">
        <v>83.5</v>
      </c>
      <c r="H62">
        <f t="shared" si="1"/>
        <v>1765.5</v>
      </c>
      <c r="K62">
        <v>61</v>
      </c>
      <c r="L62" t="s">
        <v>84</v>
      </c>
      <c r="M62">
        <v>66.85</v>
      </c>
      <c r="N62">
        <v>0</v>
      </c>
      <c r="O62">
        <v>1682</v>
      </c>
      <c r="P62">
        <v>1700</v>
      </c>
      <c r="Q62">
        <f t="shared" si="14"/>
        <v>-18</v>
      </c>
      <c r="R62">
        <f t="shared" si="15"/>
        <v>0</v>
      </c>
      <c r="S62">
        <v>100</v>
      </c>
      <c r="T62">
        <f t="shared" si="16"/>
        <v>82</v>
      </c>
      <c r="W62" t="s">
        <v>84</v>
      </c>
      <c r="X62">
        <f t="shared" si="17"/>
        <v>82</v>
      </c>
      <c r="Z62">
        <f t="shared" si="18"/>
        <v>82</v>
      </c>
      <c r="AA62">
        <v>69.3</v>
      </c>
      <c r="AB62">
        <v>2</v>
      </c>
      <c r="AC62">
        <f t="shared" si="19"/>
        <v>138.6</v>
      </c>
      <c r="AD62">
        <f t="shared" si="20"/>
        <v>220.6</v>
      </c>
      <c r="AG62" t="s">
        <v>84</v>
      </c>
      <c r="AH62">
        <v>220.6</v>
      </c>
      <c r="AI62">
        <v>0</v>
      </c>
      <c r="AJ62">
        <f t="shared" si="21"/>
        <v>220.6</v>
      </c>
      <c r="AK62">
        <v>53.3</v>
      </c>
      <c r="AL62">
        <v>26</v>
      </c>
      <c r="AM62">
        <f t="shared" si="22"/>
        <v>1385.8</v>
      </c>
      <c r="AN62">
        <f t="shared" si="23"/>
        <v>1606.4</v>
      </c>
    </row>
    <row r="63" spans="1:40">
      <c r="A63">
        <v>62</v>
      </c>
      <c r="B63" t="s">
        <v>85</v>
      </c>
      <c r="C63">
        <v>56.5</v>
      </c>
      <c r="D63">
        <v>41</v>
      </c>
      <c r="E63">
        <f t="shared" si="0"/>
        <v>2316.5</v>
      </c>
      <c r="F63">
        <v>100</v>
      </c>
      <c r="G63">
        <v>0</v>
      </c>
      <c r="H63">
        <f t="shared" si="1"/>
        <v>2416.5</v>
      </c>
      <c r="K63">
        <v>62</v>
      </c>
      <c r="L63" t="s">
        <v>85</v>
      </c>
      <c r="M63">
        <v>66.85</v>
      </c>
      <c r="N63">
        <v>3</v>
      </c>
      <c r="O63">
        <f t="shared" si="13"/>
        <v>2416.5</v>
      </c>
      <c r="P63">
        <v>2000</v>
      </c>
      <c r="Q63">
        <f t="shared" si="14"/>
        <v>416.5</v>
      </c>
      <c r="R63">
        <f t="shared" si="15"/>
        <v>200.55</v>
      </c>
      <c r="S63">
        <v>100</v>
      </c>
      <c r="T63">
        <f t="shared" si="16"/>
        <v>717.05</v>
      </c>
      <c r="W63" t="s">
        <v>85</v>
      </c>
      <c r="X63">
        <f t="shared" si="17"/>
        <v>717.05</v>
      </c>
      <c r="Z63">
        <f t="shared" si="18"/>
        <v>717.05</v>
      </c>
      <c r="AA63">
        <v>69.3</v>
      </c>
      <c r="AB63">
        <v>1</v>
      </c>
      <c r="AC63">
        <f t="shared" si="19"/>
        <v>69.3</v>
      </c>
      <c r="AD63">
        <f t="shared" si="20"/>
        <v>786.35</v>
      </c>
      <c r="AG63" t="s">
        <v>85</v>
      </c>
      <c r="AH63">
        <v>786.35</v>
      </c>
      <c r="AI63">
        <v>650</v>
      </c>
      <c r="AJ63">
        <f t="shared" si="21"/>
        <v>136.35</v>
      </c>
      <c r="AK63">
        <v>53.3</v>
      </c>
      <c r="AL63">
        <v>39</v>
      </c>
      <c r="AM63">
        <f t="shared" si="22"/>
        <v>2078.7</v>
      </c>
      <c r="AN63">
        <f t="shared" si="23"/>
        <v>2215.05</v>
      </c>
    </row>
    <row r="64" spans="1:40">
      <c r="A64">
        <v>63</v>
      </c>
      <c r="B64" t="s">
        <v>86</v>
      </c>
      <c r="C64">
        <v>56.5</v>
      </c>
      <c r="D64">
        <v>43</v>
      </c>
      <c r="E64">
        <f t="shared" si="0"/>
        <v>2429.5</v>
      </c>
      <c r="F64">
        <v>100</v>
      </c>
      <c r="G64">
        <v>0</v>
      </c>
      <c r="H64">
        <f t="shared" si="1"/>
        <v>2529.5</v>
      </c>
      <c r="K64">
        <v>63</v>
      </c>
      <c r="L64" t="s">
        <v>86</v>
      </c>
      <c r="M64">
        <v>66.85</v>
      </c>
      <c r="N64">
        <v>7</v>
      </c>
      <c r="O64">
        <f t="shared" si="13"/>
        <v>2529.5</v>
      </c>
      <c r="P64">
        <v>0</v>
      </c>
      <c r="Q64">
        <f t="shared" si="14"/>
        <v>2529.5</v>
      </c>
      <c r="R64">
        <f t="shared" si="15"/>
        <v>467.95</v>
      </c>
      <c r="S64">
        <v>100</v>
      </c>
      <c r="T64">
        <f t="shared" si="16"/>
        <v>3097.45</v>
      </c>
      <c r="W64" t="s">
        <v>86</v>
      </c>
      <c r="X64">
        <f t="shared" si="17"/>
        <v>3097.45</v>
      </c>
      <c r="Z64">
        <f t="shared" si="18"/>
        <v>3097.45</v>
      </c>
      <c r="AA64">
        <v>69.3</v>
      </c>
      <c r="AB64">
        <v>11</v>
      </c>
      <c r="AC64">
        <f t="shared" si="19"/>
        <v>762.3</v>
      </c>
      <c r="AD64">
        <f t="shared" si="20"/>
        <v>3859.75</v>
      </c>
      <c r="AG64" t="s">
        <v>86</v>
      </c>
      <c r="AH64">
        <v>3859.75</v>
      </c>
      <c r="AI64">
        <v>0</v>
      </c>
      <c r="AJ64">
        <f t="shared" si="21"/>
        <v>3859.75</v>
      </c>
      <c r="AK64">
        <v>53.3</v>
      </c>
      <c r="AL64">
        <v>29</v>
      </c>
      <c r="AM64">
        <f t="shared" si="22"/>
        <v>1545.7</v>
      </c>
      <c r="AN64">
        <f t="shared" si="23"/>
        <v>5405.45</v>
      </c>
    </row>
    <row r="65" spans="1:40">
      <c r="A65">
        <v>64</v>
      </c>
      <c r="B65" t="s">
        <v>87</v>
      </c>
      <c r="C65">
        <v>56.5</v>
      </c>
      <c r="D65">
        <v>20</v>
      </c>
      <c r="E65">
        <f t="shared" si="0"/>
        <v>1130</v>
      </c>
      <c r="F65">
        <v>100</v>
      </c>
      <c r="G65">
        <v>0</v>
      </c>
      <c r="H65">
        <f t="shared" si="1"/>
        <v>1230</v>
      </c>
      <c r="K65">
        <v>64</v>
      </c>
      <c r="L65" t="s">
        <v>87</v>
      </c>
      <c r="M65">
        <v>66.85</v>
      </c>
      <c r="N65">
        <v>17</v>
      </c>
      <c r="O65">
        <f t="shared" si="13"/>
        <v>1230</v>
      </c>
      <c r="P65">
        <v>1230</v>
      </c>
      <c r="Q65">
        <f t="shared" si="14"/>
        <v>0</v>
      </c>
      <c r="R65">
        <f t="shared" si="15"/>
        <v>1136.45</v>
      </c>
      <c r="S65">
        <v>100</v>
      </c>
      <c r="T65">
        <f t="shared" si="16"/>
        <v>1236.45</v>
      </c>
      <c r="W65" t="s">
        <v>87</v>
      </c>
      <c r="X65">
        <f t="shared" si="17"/>
        <v>1236.45</v>
      </c>
      <c r="Y65">
        <v>1240</v>
      </c>
      <c r="Z65">
        <f t="shared" si="18"/>
        <v>-3.54999999999995</v>
      </c>
      <c r="AA65">
        <v>69.3</v>
      </c>
      <c r="AB65">
        <v>7</v>
      </c>
      <c r="AC65">
        <f t="shared" si="19"/>
        <v>485.1</v>
      </c>
      <c r="AD65">
        <f t="shared" si="20"/>
        <v>481.55</v>
      </c>
      <c r="AG65" t="s">
        <v>87</v>
      </c>
      <c r="AH65">
        <v>481.55</v>
      </c>
      <c r="AI65">
        <v>400</v>
      </c>
      <c r="AJ65">
        <f t="shared" si="21"/>
        <v>81.55</v>
      </c>
      <c r="AK65">
        <v>53.3</v>
      </c>
      <c r="AL65">
        <v>34</v>
      </c>
      <c r="AM65">
        <f t="shared" si="22"/>
        <v>1812.2</v>
      </c>
      <c r="AN65">
        <f t="shared" si="23"/>
        <v>1893.75</v>
      </c>
    </row>
    <row r="66" spans="1:40">
      <c r="A66">
        <v>66</v>
      </c>
      <c r="B66" t="s">
        <v>88</v>
      </c>
      <c r="C66">
        <v>56.5</v>
      </c>
      <c r="D66">
        <v>39</v>
      </c>
      <c r="E66">
        <f t="shared" ref="E66:E72" si="24">C66*D66</f>
        <v>2203.5</v>
      </c>
      <c r="F66">
        <v>100</v>
      </c>
      <c r="G66">
        <v>0</v>
      </c>
      <c r="H66">
        <f t="shared" si="1"/>
        <v>2303.5</v>
      </c>
      <c r="K66">
        <v>66</v>
      </c>
      <c r="L66" t="s">
        <v>88</v>
      </c>
      <c r="M66">
        <v>66.85</v>
      </c>
      <c r="N66">
        <v>14</v>
      </c>
      <c r="O66">
        <f t="shared" si="13"/>
        <v>2303.5</v>
      </c>
      <c r="P66">
        <v>2300</v>
      </c>
      <c r="Q66">
        <f t="shared" si="14"/>
        <v>3.5</v>
      </c>
      <c r="R66">
        <f t="shared" si="15"/>
        <v>935.9</v>
      </c>
      <c r="S66">
        <v>100</v>
      </c>
      <c r="T66">
        <f t="shared" si="16"/>
        <v>1039.4</v>
      </c>
      <c r="W66" t="s">
        <v>88</v>
      </c>
      <c r="X66">
        <f t="shared" si="17"/>
        <v>1039.4</v>
      </c>
      <c r="Z66">
        <f t="shared" si="18"/>
        <v>1039.4</v>
      </c>
      <c r="AA66">
        <v>69.3</v>
      </c>
      <c r="AB66">
        <v>0</v>
      </c>
      <c r="AC66">
        <f t="shared" si="19"/>
        <v>0</v>
      </c>
      <c r="AD66">
        <f t="shared" si="20"/>
        <v>1039.4</v>
      </c>
      <c r="AG66" t="s">
        <v>88</v>
      </c>
      <c r="AH66">
        <v>1039.4</v>
      </c>
      <c r="AI66">
        <v>600</v>
      </c>
      <c r="AJ66">
        <f t="shared" si="21"/>
        <v>439.4</v>
      </c>
      <c r="AK66">
        <v>53.3</v>
      </c>
      <c r="AL66">
        <v>42</v>
      </c>
      <c r="AM66">
        <f t="shared" si="22"/>
        <v>2238.6</v>
      </c>
      <c r="AN66">
        <f t="shared" si="23"/>
        <v>2678</v>
      </c>
    </row>
    <row r="67" spans="1:40">
      <c r="A67">
        <v>67</v>
      </c>
      <c r="B67" t="s">
        <v>89</v>
      </c>
      <c r="C67">
        <v>56.5</v>
      </c>
      <c r="D67">
        <v>38</v>
      </c>
      <c r="E67">
        <f t="shared" si="24"/>
        <v>2147</v>
      </c>
      <c r="F67">
        <v>100</v>
      </c>
      <c r="G67">
        <v>0</v>
      </c>
      <c r="H67">
        <f t="shared" ref="H67:H73" si="25">SUM(E67:G67)</f>
        <v>2247</v>
      </c>
      <c r="K67">
        <v>67</v>
      </c>
      <c r="L67" t="s">
        <v>89</v>
      </c>
      <c r="M67">
        <v>66.85</v>
      </c>
      <c r="N67">
        <v>3</v>
      </c>
      <c r="O67">
        <f t="shared" si="13"/>
        <v>2247</v>
      </c>
      <c r="P67">
        <v>0</v>
      </c>
      <c r="Q67">
        <f t="shared" si="14"/>
        <v>2247</v>
      </c>
      <c r="R67">
        <f t="shared" si="15"/>
        <v>200.55</v>
      </c>
      <c r="S67">
        <v>100</v>
      </c>
      <c r="T67">
        <f t="shared" si="16"/>
        <v>2547.55</v>
      </c>
      <c r="W67" t="s">
        <v>89</v>
      </c>
      <c r="X67">
        <f t="shared" si="17"/>
        <v>2547.55</v>
      </c>
      <c r="Y67">
        <v>2500</v>
      </c>
      <c r="Z67">
        <f t="shared" si="18"/>
        <v>47.5500000000002</v>
      </c>
      <c r="AA67">
        <v>69.3</v>
      </c>
      <c r="AB67">
        <v>14</v>
      </c>
      <c r="AC67">
        <f t="shared" si="19"/>
        <v>970.2</v>
      </c>
      <c r="AD67">
        <f t="shared" si="20"/>
        <v>1017.75</v>
      </c>
      <c r="AG67" t="s">
        <v>89</v>
      </c>
      <c r="AH67">
        <v>1017.75</v>
      </c>
      <c r="AI67">
        <v>1000</v>
      </c>
      <c r="AJ67">
        <f>AH67-AI67</f>
        <v>17.75</v>
      </c>
      <c r="AK67">
        <v>53.3</v>
      </c>
      <c r="AL67">
        <v>55</v>
      </c>
      <c r="AM67">
        <f>AK67*AL67</f>
        <v>2931.5</v>
      </c>
      <c r="AN67">
        <f>AM67+AJ67</f>
        <v>2949.25</v>
      </c>
    </row>
    <row r="68" spans="1:40">
      <c r="A68">
        <v>68</v>
      </c>
      <c r="B68" t="s">
        <v>90</v>
      </c>
      <c r="C68">
        <v>56.5</v>
      </c>
      <c r="D68">
        <v>24</v>
      </c>
      <c r="E68">
        <f t="shared" si="24"/>
        <v>1356</v>
      </c>
      <c r="F68">
        <v>100</v>
      </c>
      <c r="G68">
        <v>0</v>
      </c>
      <c r="H68">
        <f t="shared" si="25"/>
        <v>1456</v>
      </c>
      <c r="K68">
        <v>68</v>
      </c>
      <c r="L68" t="s">
        <v>90</v>
      </c>
      <c r="M68">
        <v>66.85</v>
      </c>
      <c r="N68">
        <v>5</v>
      </c>
      <c r="O68">
        <f t="shared" si="13"/>
        <v>1456</v>
      </c>
      <c r="P68">
        <v>0</v>
      </c>
      <c r="Q68">
        <f t="shared" si="14"/>
        <v>1456</v>
      </c>
      <c r="R68">
        <f t="shared" si="15"/>
        <v>334.25</v>
      </c>
      <c r="S68">
        <v>100</v>
      </c>
      <c r="T68">
        <f t="shared" si="16"/>
        <v>1890.25</v>
      </c>
      <c r="W68" t="s">
        <v>90</v>
      </c>
      <c r="X68">
        <f t="shared" si="17"/>
        <v>1890.25</v>
      </c>
      <c r="Z68">
        <f t="shared" si="18"/>
        <v>1890.25</v>
      </c>
      <c r="AA68">
        <v>69.3</v>
      </c>
      <c r="AB68">
        <v>11</v>
      </c>
      <c r="AC68">
        <f t="shared" si="19"/>
        <v>762.3</v>
      </c>
      <c r="AD68">
        <f t="shared" si="20"/>
        <v>2652.55</v>
      </c>
      <c r="AG68" t="s">
        <v>90</v>
      </c>
      <c r="AH68">
        <v>2652.55</v>
      </c>
      <c r="AI68">
        <v>1700</v>
      </c>
      <c r="AJ68">
        <f>AH68-AI68</f>
        <v>952.55</v>
      </c>
      <c r="AK68">
        <v>53.3</v>
      </c>
      <c r="AL68">
        <v>39</v>
      </c>
      <c r="AM68">
        <f>AK68*AL68</f>
        <v>2078.7</v>
      </c>
      <c r="AN68">
        <f>AM68+AJ68</f>
        <v>3031.25</v>
      </c>
    </row>
    <row r="69" spans="1:40">
      <c r="A69">
        <v>69</v>
      </c>
      <c r="B69" t="s">
        <v>91</v>
      </c>
      <c r="C69">
        <v>56.5</v>
      </c>
      <c r="D69">
        <v>39</v>
      </c>
      <c r="E69">
        <f t="shared" si="24"/>
        <v>2203.5</v>
      </c>
      <c r="F69">
        <v>100</v>
      </c>
      <c r="G69">
        <v>0</v>
      </c>
      <c r="H69">
        <f t="shared" si="25"/>
        <v>2303.5</v>
      </c>
      <c r="K69">
        <v>69</v>
      </c>
      <c r="L69" t="s">
        <v>91</v>
      </c>
      <c r="M69">
        <v>66.85</v>
      </c>
      <c r="N69">
        <v>6</v>
      </c>
      <c r="O69">
        <f t="shared" si="13"/>
        <v>2303.5</v>
      </c>
      <c r="P69">
        <v>2000</v>
      </c>
      <c r="Q69">
        <f t="shared" si="14"/>
        <v>303.5</v>
      </c>
      <c r="R69">
        <f t="shared" si="15"/>
        <v>401.1</v>
      </c>
      <c r="S69">
        <v>100</v>
      </c>
      <c r="T69">
        <f t="shared" si="16"/>
        <v>804.6</v>
      </c>
      <c r="W69" t="s">
        <v>91</v>
      </c>
      <c r="X69">
        <f t="shared" si="17"/>
        <v>804.6</v>
      </c>
      <c r="Z69">
        <f t="shared" si="18"/>
        <v>804.6</v>
      </c>
      <c r="AA69">
        <v>69.3</v>
      </c>
      <c r="AB69">
        <v>9</v>
      </c>
      <c r="AC69">
        <f t="shared" si="19"/>
        <v>623.7</v>
      </c>
      <c r="AD69">
        <f t="shared" si="20"/>
        <v>1428.3</v>
      </c>
      <c r="AG69" t="s">
        <v>91</v>
      </c>
      <c r="AH69">
        <v>1428.3</v>
      </c>
      <c r="AI69">
        <v>1000</v>
      </c>
      <c r="AJ69">
        <f>AH69-AI69</f>
        <v>428.3</v>
      </c>
      <c r="AK69">
        <v>53.3</v>
      </c>
      <c r="AL69">
        <v>40</v>
      </c>
      <c r="AM69">
        <f>AK69*AL69</f>
        <v>2132</v>
      </c>
      <c r="AN69">
        <f>AM69+AJ69</f>
        <v>2560.3</v>
      </c>
    </row>
    <row r="70" spans="1:40">
      <c r="A70">
        <v>70</v>
      </c>
      <c r="B70" t="s">
        <v>92</v>
      </c>
      <c r="C70">
        <v>56.5</v>
      </c>
      <c r="D70">
        <v>15</v>
      </c>
      <c r="E70">
        <f t="shared" si="24"/>
        <v>847.5</v>
      </c>
      <c r="F70">
        <v>100</v>
      </c>
      <c r="G70">
        <v>0</v>
      </c>
      <c r="H70">
        <f t="shared" si="25"/>
        <v>947.5</v>
      </c>
      <c r="K70">
        <v>70</v>
      </c>
      <c r="L70" t="s">
        <v>92</v>
      </c>
      <c r="M70">
        <v>66.85</v>
      </c>
      <c r="N70">
        <v>1</v>
      </c>
      <c r="O70">
        <f t="shared" si="13"/>
        <v>947.5</v>
      </c>
      <c r="P70">
        <v>500</v>
      </c>
      <c r="Q70">
        <f t="shared" si="14"/>
        <v>447.5</v>
      </c>
      <c r="R70">
        <f t="shared" si="15"/>
        <v>66.85</v>
      </c>
      <c r="S70">
        <v>100</v>
      </c>
      <c r="T70">
        <f t="shared" si="16"/>
        <v>614.35</v>
      </c>
      <c r="W70" t="s">
        <v>92</v>
      </c>
      <c r="X70">
        <f t="shared" si="17"/>
        <v>614.35</v>
      </c>
      <c r="Z70">
        <f t="shared" si="18"/>
        <v>614.35</v>
      </c>
      <c r="AA70">
        <v>69.3</v>
      </c>
      <c r="AB70">
        <v>0</v>
      </c>
      <c r="AC70">
        <f t="shared" si="19"/>
        <v>0</v>
      </c>
      <c r="AD70">
        <f t="shared" si="20"/>
        <v>614.35</v>
      </c>
      <c r="AG70" t="s">
        <v>92</v>
      </c>
      <c r="AH70">
        <v>614.35</v>
      </c>
      <c r="AI70">
        <v>697</v>
      </c>
      <c r="AJ70">
        <f>AH70-AI70</f>
        <v>-82.65</v>
      </c>
      <c r="AK70">
        <v>53.3</v>
      </c>
      <c r="AL70">
        <v>4</v>
      </c>
      <c r="AM70">
        <f>AK70*AL70</f>
        <v>213.2</v>
      </c>
      <c r="AN70">
        <f>AM70+AJ70</f>
        <v>130.55</v>
      </c>
    </row>
    <row r="71" spans="1:40">
      <c r="A71">
        <v>71</v>
      </c>
      <c r="B71" t="s">
        <v>93</v>
      </c>
      <c r="C71">
        <v>56.5</v>
      </c>
      <c r="D71">
        <v>0</v>
      </c>
      <c r="E71">
        <f t="shared" si="24"/>
        <v>0</v>
      </c>
      <c r="F71">
        <v>0</v>
      </c>
      <c r="G71">
        <v>767</v>
      </c>
      <c r="H71">
        <f t="shared" si="25"/>
        <v>767</v>
      </c>
      <c r="K71">
        <v>71</v>
      </c>
      <c r="L71" t="s">
        <v>93</v>
      </c>
      <c r="M71">
        <v>66.85</v>
      </c>
      <c r="N71">
        <v>1</v>
      </c>
      <c r="O71">
        <f t="shared" si="13"/>
        <v>767</v>
      </c>
      <c r="P71">
        <v>0</v>
      </c>
      <c r="Q71">
        <f t="shared" si="14"/>
        <v>767</v>
      </c>
      <c r="R71">
        <f t="shared" si="15"/>
        <v>66.85</v>
      </c>
      <c r="T71">
        <f t="shared" si="16"/>
        <v>833.85</v>
      </c>
      <c r="W71" t="s">
        <v>93</v>
      </c>
      <c r="X71">
        <f t="shared" si="17"/>
        <v>833.85</v>
      </c>
      <c r="Z71">
        <f t="shared" si="18"/>
        <v>833.85</v>
      </c>
      <c r="AA71">
        <v>69.3</v>
      </c>
      <c r="AB71">
        <v>0</v>
      </c>
      <c r="AC71">
        <f t="shared" si="19"/>
        <v>0</v>
      </c>
      <c r="AD71">
        <f t="shared" si="20"/>
        <v>833.85</v>
      </c>
      <c r="AG71" t="s">
        <v>93</v>
      </c>
      <c r="AH71">
        <v>833.85</v>
      </c>
      <c r="AJ71">
        <v>153.85</v>
      </c>
      <c r="AK71">
        <v>53.3</v>
      </c>
      <c r="AL71">
        <v>0</v>
      </c>
      <c r="AM71">
        <f>AK71*AL71</f>
        <v>0</v>
      </c>
      <c r="AN71">
        <f>AM71+AJ71</f>
        <v>153.85</v>
      </c>
    </row>
    <row r="72" spans="1:40">
      <c r="A72">
        <v>72</v>
      </c>
      <c r="B72" t="s">
        <v>94</v>
      </c>
      <c r="C72">
        <v>56.5</v>
      </c>
      <c r="D72">
        <v>0</v>
      </c>
      <c r="E72">
        <f t="shared" si="24"/>
        <v>0</v>
      </c>
      <c r="F72">
        <v>0</v>
      </c>
      <c r="G72">
        <v>327</v>
      </c>
      <c r="H72">
        <f t="shared" si="25"/>
        <v>327</v>
      </c>
      <c r="K72">
        <v>72</v>
      </c>
      <c r="L72" t="s">
        <v>94</v>
      </c>
      <c r="M72">
        <v>66.85</v>
      </c>
      <c r="N72">
        <v>1</v>
      </c>
      <c r="O72">
        <f t="shared" si="13"/>
        <v>327</v>
      </c>
      <c r="P72">
        <v>500</v>
      </c>
      <c r="Q72">
        <f t="shared" si="14"/>
        <v>-173</v>
      </c>
      <c r="R72">
        <f t="shared" si="15"/>
        <v>66.85</v>
      </c>
      <c r="T72">
        <f t="shared" si="16"/>
        <v>-106.15</v>
      </c>
      <c r="W72" t="s">
        <v>94</v>
      </c>
      <c r="X72">
        <f t="shared" si="17"/>
        <v>-106.15</v>
      </c>
      <c r="Z72">
        <f t="shared" si="18"/>
        <v>-106.15</v>
      </c>
      <c r="AA72">
        <v>69.3</v>
      </c>
      <c r="AC72">
        <f t="shared" si="19"/>
        <v>0</v>
      </c>
      <c r="AD72">
        <f t="shared" si="20"/>
        <v>-106.15</v>
      </c>
      <c r="AG72" t="s">
        <v>94</v>
      </c>
      <c r="AH72">
        <v>-106.5</v>
      </c>
      <c r="AJ72">
        <f>AH72-AI72</f>
        <v>-106.5</v>
      </c>
      <c r="AK72">
        <v>53.3</v>
      </c>
      <c r="AL72">
        <v>0</v>
      </c>
      <c r="AM72">
        <f>AK72*AL72</f>
        <v>0</v>
      </c>
      <c r="AN72">
        <f>AM72+AJ72</f>
        <v>-106.5</v>
      </c>
    </row>
    <row r="73" spans="14:18">
      <c r="N73" s="5">
        <f ca="1">SUM(N2:N73)</f>
        <v>0</v>
      </c>
      <c r="R73">
        <f ca="1" t="shared" si="15"/>
        <v>0</v>
      </c>
    </row>
    <row r="74" spans="34:38">
      <c r="AH74" s="5"/>
      <c r="AI74" s="5"/>
      <c r="AJ74" s="5"/>
      <c r="AK74"/>
      <c r="AL74" s="5"/>
    </row>
    <row r="75" spans="14:40">
      <c r="N75" s="5">
        <f>SUM(N2:N72)</f>
        <v>1325</v>
      </c>
      <c r="S75" s="5">
        <f>SUM(S2:S71)</f>
        <v>6900</v>
      </c>
      <c r="T75" s="5">
        <f>SUM(T2:T72)</f>
        <v>191160.25</v>
      </c>
      <c r="Z75" s="5">
        <f>SUM(Z2:Z72)</f>
        <v>144503.25</v>
      </c>
      <c r="AB75" s="5">
        <f>SUM(AB2:AB71)</f>
        <v>861</v>
      </c>
      <c r="AD75" s="5">
        <f>SUM(AD2:AD72)</f>
        <v>204170.55</v>
      </c>
      <c r="AL75" s="5">
        <f>SUM(AL2:AL73)</f>
        <v>2542</v>
      </c>
      <c r="AN75" s="5">
        <f>SUM(AN2:AN72)</f>
        <v>218052.8</v>
      </c>
    </row>
    <row r="76" spans="16:17">
      <c r="P76" s="5">
        <f>SUM(P2:P72)</f>
        <v>118050</v>
      </c>
      <c r="Q76" s="5">
        <f>SUM(Q2:Q72)</f>
        <v>95684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77" sqref="F77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Names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itbd</cp:lastModifiedBy>
  <dcterms:created xsi:type="dcterms:W3CDTF">2026-01-30T19:57:00Z</dcterms:created>
  <dcterms:modified xsi:type="dcterms:W3CDTF">2026-05-03T06:06:03Z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D02DC878FFA74CE58E21BFF4DB86993D_13</vt:lpwstr>
  </property>
  <property fmtid="{D5CDD505-2E9C-101B-9397-08002B2CF9AE}" pid="3" name="KSOProductBuildVer">
    <vt:lpwstr>1033-12.2.0.23196</vt:lpwstr>
  </property>
</Properties>
</file>